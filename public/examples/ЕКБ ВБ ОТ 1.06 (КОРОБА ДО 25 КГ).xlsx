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s\AutoLandExcel\supplies\public\examples\"/>
    </mc:Choice>
  </mc:AlternateContent>
  <bookViews>
    <workbookView xWindow="0" yWindow="0" windowWidth="21570" windowHeight="8145"/>
  </bookViews>
  <sheets>
    <sheet name="Лист1" sheetId="1" r:id="rId1"/>
  </sheets>
  <calcPr calcId="152511"/>
</workbook>
</file>

<file path=xl/calcChain.xml><?xml version="1.0" encoding="utf-8"?>
<calcChain xmlns="http://schemas.openxmlformats.org/spreadsheetml/2006/main">
  <c r="D110" i="1" l="1"/>
  <c r="C110" i="1"/>
</calcChain>
</file>

<file path=xl/sharedStrings.xml><?xml version="1.0" encoding="utf-8"?>
<sst xmlns="http://schemas.openxmlformats.org/spreadsheetml/2006/main" count="591" uniqueCount="459">
  <si>
    <t>ВСЕГО КОРОБОВ</t>
  </si>
  <si>
    <t>Всего 109кор, 80 общ и 29отд</t>
  </si>
  <si>
    <t>Артикул</t>
  </si>
  <si>
    <t>Товар</t>
  </si>
  <si>
    <t>Кол-во</t>
  </si>
  <si>
    <t>Вес</t>
  </si>
  <si>
    <t>Упаковка</t>
  </si>
  <si>
    <t>Короб</t>
  </si>
  <si>
    <t>ФИО сборщика</t>
  </si>
  <si>
    <t>ФИО упаковщика</t>
  </si>
  <si>
    <t>время</t>
  </si>
  <si>
    <t>дата</t>
  </si>
  <si>
    <t>выдача</t>
  </si>
  <si>
    <t>комментарий</t>
  </si>
  <si>
    <t>ФИО кладовщика</t>
  </si>
  <si>
    <t>Свеча зажигания ваз на 8 кл инжектор F510 (4шт)</t>
  </si>
  <si>
    <t>К/П 21х15</t>
  </si>
  <si>
    <t>50общ</t>
  </si>
  <si>
    <t>2037174774572</t>
  </si>
  <si>
    <t>Свечи зажигания дв. 402, 4178, 4218 F702</t>
  </si>
  <si>
    <t>58общ-16шт, 60общ-4шт</t>
  </si>
  <si>
    <t>2037598898533</t>
  </si>
  <si>
    <t>Свечи Зажигания Chevrolet Aveo Cobalt</t>
  </si>
  <si>
    <t>57общ</t>
  </si>
  <si>
    <t>2039308753811</t>
  </si>
  <si>
    <t>1палет - 16общ кор.вес 389кг, 179см. 2палет-16общ.кор,вес373кг,высота 159см. 3палет-17общ.кор, вес395,высота153см. 4палет-16общ.кор,395кг,151см.5палет-15общ.кор,362кг,126см. 6палет-29отд.кор, 336кг,137см.</t>
  </si>
  <si>
    <t>Свечи зажигания Ford 4 шт.</t>
  </si>
  <si>
    <t>57общ-5шт, 60общ-15шт</t>
  </si>
  <si>
    <t>выдано 5шт</t>
  </si>
  <si>
    <t>2037520851902</t>
  </si>
  <si>
    <t>Свечи зажигания Matiz Nexia Lanos 4 шт</t>
  </si>
  <si>
    <t>62общ</t>
  </si>
  <si>
    <t>выдано 1шт</t>
  </si>
  <si>
    <t>2038809454234</t>
  </si>
  <si>
    <t>Свечи зажигания Киа Спектра Spectra Рено Логан Logan</t>
  </si>
  <si>
    <t>2039345781945</t>
  </si>
  <si>
    <t xml:space="preserve">    </t>
  </si>
  <si>
    <t>Фильтр масляный logan-duster Finwhale LF702</t>
  </si>
  <si>
    <t>Короб 100х100х110</t>
  </si>
  <si>
    <t>80общ</t>
  </si>
  <si>
    <t>2037721605663</t>
  </si>
  <si>
    <t>Свечи зажигания 3-х контактные 2106-09</t>
  </si>
  <si>
    <t>62общ-5шт, 67общ-5шт</t>
  </si>
  <si>
    <t>2038803538060</t>
  </si>
  <si>
    <t>Термостат с корпусом ваз 2101-2107 80°C</t>
  </si>
  <si>
    <t>пленка</t>
  </si>
  <si>
    <t>2039408770954</t>
  </si>
  <si>
    <t xml:space="preserve"> </t>
  </si>
  <si>
    <t>Термостат Лада Ваз 2108, 2109, 2114, 2115 (85 C)</t>
  </si>
  <si>
    <t>8общ</t>
  </si>
  <si>
    <t>упакован</t>
  </si>
  <si>
    <t>2039408905516</t>
  </si>
  <si>
    <t>Свечи зажигания на ваз 2106-09 2121 1111</t>
  </si>
  <si>
    <t>14общ-70шт, 15общ-30шт, 21общ-73шт, 23общ-27шт</t>
  </si>
  <si>
    <t>упаковано 22шт</t>
  </si>
  <si>
    <t>хомколов упаковал 73шт, максин упаковал 105шт, максин собрал 200шт</t>
  </si>
  <si>
    <t>2040484804044</t>
  </si>
  <si>
    <t>Датчик давления масла ВАЗ 2101-2115 Приора Нива IP1117</t>
  </si>
  <si>
    <t>К/П 21х11 (завернуть)</t>
  </si>
  <si>
    <t>6общ</t>
  </si>
  <si>
    <t>2043389399769</t>
  </si>
  <si>
    <t>Опора шаровая Mitsubishi Lancer 9, 10; Outlander; 2 ШТ</t>
  </si>
  <si>
    <t>К/П 21х15 (скотч затян.)</t>
  </si>
  <si>
    <t>63общ-5шт, 64общ-5шт, 65общ-5шт, 66общ-5шт</t>
  </si>
  <si>
    <t>2041356920336</t>
  </si>
  <si>
    <t>Рычаги передней подвески левый-правый комплект 2 шт.</t>
  </si>
  <si>
    <t>Пупырка 1м</t>
  </si>
  <si>
    <t>10отд.кор по 2шт</t>
  </si>
  <si>
    <t>2043007335117</t>
  </si>
  <si>
    <t>Ремень ГРМ111x19 LADA 2108-15 Kalina</t>
  </si>
  <si>
    <t>К/П 30х40 (сл. пополам)</t>
  </si>
  <si>
    <t>79общ</t>
  </si>
  <si>
    <t>2040481485697</t>
  </si>
  <si>
    <t>Ремень приводной генератора Chevrolet Lacetti Лачетти</t>
  </si>
  <si>
    <t>К/П 30х40 (подогнуть)</t>
  </si>
  <si>
    <t>2043670570549</t>
  </si>
  <si>
    <t>Свеча зажигания ваз на 8 кл инжектор (4шт)</t>
  </si>
  <si>
    <t>35общ-11шт, 36общ-19</t>
  </si>
  <si>
    <t>упаковано 10шт</t>
  </si>
  <si>
    <t>Максин упаковал 20шт</t>
  </si>
  <si>
    <t>2040680798239</t>
  </si>
  <si>
    <t>Свечи зажигания дв. 402, 4178, 4218 4 шт</t>
  </si>
  <si>
    <t>24общ</t>
  </si>
  <si>
    <t>2040485706071</t>
  </si>
  <si>
    <t>Опора шаровая Hyundai Solaris 1, 2; Kia Rio 3, 4; 2 ШТ</t>
  </si>
  <si>
    <t>56общ-2шт, 57общ-3шт</t>
  </si>
  <si>
    <t>2041340049845</t>
  </si>
  <si>
    <t>Опора шаровая logan largus комплект 2 шт</t>
  </si>
  <si>
    <t>59общ-5шт, 61общ-5шт</t>
  </si>
  <si>
    <t>2040512200527</t>
  </si>
  <si>
    <t>Стойки стабилизатора передняя Polo Fabia Rapid комплект 2 шт</t>
  </si>
  <si>
    <t>К/П 30х40 (скотч затян)</t>
  </si>
  <si>
    <t>2043018323141</t>
  </si>
  <si>
    <t>Комплект стоек стабилизаторов Ситроен С4, Пежо 307-308 2 шт.</t>
  </si>
  <si>
    <t>К/П 40х50 Вплотную</t>
  </si>
  <si>
    <t>47общ-17шт, 53общ-5шт, 54общ-5шт, 55общ-3шт</t>
  </si>
  <si>
    <t>упаковано 17шт</t>
  </si>
  <si>
    <t>Пайков упаковал 13шт</t>
  </si>
  <si>
    <t>2043008985441</t>
  </si>
  <si>
    <t>Воздушный фильтр Лада Веста Lada Vesta, Lada X-ray, Duster</t>
  </si>
  <si>
    <t>37общ-6, 38общ-6шт, 48общ-8шт, 49общ-5шт, 77общ-5шт</t>
  </si>
  <si>
    <t>2040786916483</t>
  </si>
  <si>
    <t>Фильтр масляный ваз 2101-07, Нива 2121</t>
  </si>
  <si>
    <t>Короб 150x100x100</t>
  </si>
  <si>
    <t>76общ</t>
  </si>
  <si>
    <t>2040510950271</t>
  </si>
  <si>
    <t>Водяной насос (помпа) Daewoo Matiz Дэу Матиз 0.8</t>
  </si>
  <si>
    <t>Затянуть скотчем</t>
  </si>
  <si>
    <t>15общ</t>
  </si>
  <si>
    <t>2046890764965</t>
  </si>
  <si>
    <t>Ступица передняя с подшипником Форд Фокус 2</t>
  </si>
  <si>
    <t>2050092680220</t>
  </si>
  <si>
    <t>Ремкомплект направляющих тормозного суппорта заднего Солярис</t>
  </si>
  <si>
    <t>12общ-7шт, 15общ-26шт, 23общ-34шт, 25общ-3шт</t>
  </si>
  <si>
    <t>2044451179128</t>
  </si>
  <si>
    <t>Ремкомплект направляющих тормозного суппорта переднего LANOS</t>
  </si>
  <si>
    <t>22общ</t>
  </si>
  <si>
    <t>2045093539035</t>
  </si>
  <si>
    <t>Ремкомплект направляющих переднего суппорта Логан 1 Ларгус</t>
  </si>
  <si>
    <t>2050081827247</t>
  </si>
  <si>
    <t>Ремкомплект заднего суппорта с поршнем 32 мм Лачетти</t>
  </si>
  <si>
    <t>Короб 110х70х70</t>
  </si>
  <si>
    <t>78общ-14шт, 80общ-6шт</t>
  </si>
  <si>
    <t>2050046043996</t>
  </si>
  <si>
    <t>Ремкомплект заднего суппорта с поршнем 38 мм Лансер 9</t>
  </si>
  <si>
    <t>7общ</t>
  </si>
  <si>
    <t>2046105719759</t>
  </si>
  <si>
    <t>Ремкомплект направляющих тормозного суппорта переднего ACCENT GETZ</t>
  </si>
  <si>
    <t>1общ</t>
  </si>
  <si>
    <t>2045104087272</t>
  </si>
  <si>
    <t>Ремкомплект направляющих тормозного суппорта заднего TOYOTA Auris(E15/E18) 06&gt; / Corolla(E15/E18) 06</t>
  </si>
  <si>
    <t>12общ</t>
  </si>
  <si>
    <t>2051618542428</t>
  </si>
  <si>
    <t>Ремкомплект заднего суппорта 35  лансер 10 asx</t>
  </si>
  <si>
    <t>2045510461789</t>
  </si>
  <si>
    <t>Ремкомплект заднего суппорта с поршнем Солярис Рио</t>
  </si>
  <si>
    <t>9общ-16шт, 10общ-16шт, 11общ-16шт, 12общ-12шт</t>
  </si>
  <si>
    <t>2044451870285</t>
  </si>
  <si>
    <t>Ремкомплект направляющих переднего суппорта Кашкай, Х Трейл</t>
  </si>
  <si>
    <t>26общ-16шт, 75общ-24шт, 76общ-10шт</t>
  </si>
  <si>
    <t>Максин упаковал 34шт</t>
  </si>
  <si>
    <t>2045867087700</t>
  </si>
  <si>
    <t>Ремкомплект направляющих тормозного суппорта переднего LANCER 10</t>
  </si>
  <si>
    <t>3общ</t>
  </si>
  <si>
    <t>2046106114768</t>
  </si>
  <si>
    <t>Ремкомплект заднего суппорта без поршня VW Passat 05-10</t>
  </si>
  <si>
    <t>2051657975119</t>
  </si>
  <si>
    <t>Ремкомплект заднего суппорта с поршнем 43 мм SSANGYONG REXTON 02-, ACTYON 05-, KYRON 05-</t>
  </si>
  <si>
    <t>2051508220757</t>
  </si>
  <si>
    <t>Ремкомплект переднего суппорта c поршнем 54мм NISSAN Almera Classic</t>
  </si>
  <si>
    <t>2051738226116</t>
  </si>
  <si>
    <t>Водяной насос (помпа) Чери Тигго 1.8 Т11, ФЛ, Фора</t>
  </si>
  <si>
    <t>4общ</t>
  </si>
  <si>
    <t>2046804658243</t>
  </si>
  <si>
    <t>Мотор-вентилятор отопителя (моторчик печки) Лансер 10, ASX</t>
  </si>
  <si>
    <t>8общ-2шт, 46общ-2шт, 50общ-1шт, 78общ-2шт,  80общ-1шт</t>
  </si>
  <si>
    <t>2046806644381</t>
  </si>
  <si>
    <t>Мотор омывателя Шевроле Лачетти (J200) 2003-08 хэтчбек 1.6</t>
  </si>
  <si>
    <t>2046744177927</t>
  </si>
  <si>
    <t>Ремкомплект переднего суппорта с поршнем 54 мм Лачетти</t>
  </si>
  <si>
    <t>13общ-10шт, 16общ-10шт</t>
  </si>
  <si>
    <t>2051268934154</t>
  </si>
  <si>
    <t>Лампа автомобильная P21/4W 12V 2 шт.</t>
  </si>
  <si>
    <t>Короб 100х80х40 Пу-ка 0.5</t>
  </si>
  <si>
    <t>21общ-11шт, 22общ-19шт</t>
  </si>
  <si>
    <t>Максин собрал 19шт</t>
  </si>
  <si>
    <t>2042995560891</t>
  </si>
  <si>
    <t>Автомобильная лампа P21/5W 2 шт.</t>
  </si>
  <si>
    <t>4общ-70шт, 21общ-30шт</t>
  </si>
  <si>
    <t>Максин упаковал 70шт;Хомколов упаковал 30шт, Хомколов собрал 30шт</t>
  </si>
  <si>
    <t>2042996756248</t>
  </si>
  <si>
    <t>Колодки тормозные передние Kia Rio 4 Hyundai Solaris 2</t>
  </si>
  <si>
    <t xml:space="preserve">Отд.кор </t>
  </si>
  <si>
    <t>2044999144534</t>
  </si>
  <si>
    <t>Свечи зажигания ваз 8 кл на инжектор, Ween арт. 1211370</t>
  </si>
  <si>
    <t>31общ-6шт, 32общ-36шт, 35общ-8</t>
  </si>
  <si>
    <t>2037446046031</t>
  </si>
  <si>
    <t>свечи зажигания Ween lada 16 кл</t>
  </si>
  <si>
    <t>31общ</t>
  </si>
  <si>
    <t>2037822452630</t>
  </si>
  <si>
    <t>Топливный фильтр ВАЗ 2101-09 карбюраторный</t>
  </si>
  <si>
    <t>5общ-44шт, 6общ-6шт</t>
  </si>
  <si>
    <t>2044281661480</t>
  </si>
  <si>
    <t>Фильтр топливный Ваз 2101-09 с отстойником</t>
  </si>
  <si>
    <t>1общ-23шт, 2общ-40шт, 3общ-17шт</t>
  </si>
  <si>
    <t>2044282060220</t>
  </si>
  <si>
    <t>Фильтр масляный на газель 3302 2705 газ 3102 3110 дв.406,409</t>
  </si>
  <si>
    <t>Короб 150х100х100</t>
  </si>
  <si>
    <t>46общ-13шт, 50общ-1шт, 47общ-6шт</t>
  </si>
  <si>
    <t>2039407659267</t>
  </si>
  <si>
    <t>Держатель для бит 60 мм (магнитный удлинитель)</t>
  </si>
  <si>
    <t>К/П 21х11 (в плотную)</t>
  </si>
  <si>
    <t>37общ</t>
  </si>
  <si>
    <t>2047835918153</t>
  </si>
  <si>
    <t>Вороток для головок шарнирный ключ 1/2 430мм</t>
  </si>
  <si>
    <t>Клеить. затянуть скотчем</t>
  </si>
  <si>
    <t>Отд.кор</t>
  </si>
  <si>
    <t>2045530503650</t>
  </si>
  <si>
    <t>Отвертка ударная поворотная реверсивная с набором бит 6 шт.</t>
  </si>
  <si>
    <t>35общ-2, 2отд кор по 25шт, 70общ-4шт, 71общ-4шт,  72общ-4шт,  73общ-5шт, 74общ-1шт</t>
  </si>
  <si>
    <t>выдано и упаковано 52шт</t>
  </si>
  <si>
    <t>Тютючкин упооковал 18шт</t>
  </si>
  <si>
    <t>2046559176252</t>
  </si>
  <si>
    <t>Угломер для затяжки болтов механический автомобильный 1/2”</t>
  </si>
  <si>
    <t>Отд.кор-48шт, 43общ-2шт</t>
  </si>
  <si>
    <t>2048354066189</t>
  </si>
  <si>
    <t>Ключ масляного фильтра Краб D 35-75мм</t>
  </si>
  <si>
    <t>39общ-14шт, 41общ-1шт</t>
  </si>
  <si>
    <t>2046526305777</t>
  </si>
  <si>
    <t>Выколотки набор 8 шт. (2, 3, 4, 5, 6, 7, 8, 10 мм в сумке)</t>
  </si>
  <si>
    <t>2045530094400</t>
  </si>
  <si>
    <t>Насос для перекачки масла из бочки ручной рычажный</t>
  </si>
  <si>
    <t>Пупырка 2м</t>
  </si>
  <si>
    <t>77общ-10шт, 78общ-5шт</t>
  </si>
  <si>
    <t>выдано 2шт</t>
  </si>
  <si>
    <t>2046542032695</t>
  </si>
  <si>
    <t>Опрыскиватель садовый помповый для воды с клапаном 2л</t>
  </si>
  <si>
    <t>Короб 305х215x160</t>
  </si>
  <si>
    <t>23общ-3шт, 37общ-5шт, 78общ-1шт, 80общ-1шт</t>
  </si>
  <si>
    <t>2043998561809</t>
  </si>
  <si>
    <t>Шприц рычажно-плунжерный для смазки 200 мм</t>
  </si>
  <si>
    <t>2048367440495</t>
  </si>
  <si>
    <t>Манометр для шин автомобильный точный механический до 12 атм</t>
  </si>
  <si>
    <t>74общ-14шт, 77общ-4шт, 78общ-7шт</t>
  </si>
  <si>
    <t>2048383745154</t>
  </si>
  <si>
    <t>Щетка по металлу металлическая ручная</t>
  </si>
  <si>
    <t>К/П 30х40 (завернуть)</t>
  </si>
  <si>
    <t>2043999630665</t>
  </si>
  <si>
    <t>Набор ручных корщеток 3 шт.</t>
  </si>
  <si>
    <t>2044441117185</t>
  </si>
  <si>
    <t>Набор для восстановления свечной резьбы 5 предметов</t>
  </si>
  <si>
    <t>К/П 21х11</t>
  </si>
  <si>
    <t>50общ-15шт, 55общ-10шт, 56общ-15шт</t>
  </si>
  <si>
    <t>2045521734308</t>
  </si>
  <si>
    <t>Ключ масляного фильтра (серп)</t>
  </si>
  <si>
    <t>Нет</t>
  </si>
  <si>
    <t>67общ-10шт, 68общ-16шт, 69общ-4шт</t>
  </si>
  <si>
    <t>2038719830555</t>
  </si>
  <si>
    <t>Вороток для головок шарнирный ключ 1/2 600мм</t>
  </si>
  <si>
    <t>3отд.кор по 10шт</t>
  </si>
  <si>
    <t>2048365663575</t>
  </si>
  <si>
    <t>Щиток экран защитный для лица БМ</t>
  </si>
  <si>
    <t>Короб 215х145х148</t>
  </si>
  <si>
    <t>8общ-3шт, 14общ-4шт, 15общ-3шт, 23общ-6шт, 34общ-1шт, 38общ-4шт, 46общ-5шт, отд.кор-2шт, 4отд.кор по 8шт</t>
  </si>
  <si>
    <t>2039468807300</t>
  </si>
  <si>
    <t>Стяжки-съемники пружин автомобильных амортизаторов 330 мм</t>
  </si>
  <si>
    <t>37общ-14шт, 38общ-6шт, 41общ-3шт, 46общ-12шт, 48общ-12шт, 49общ-2шт, 50общ-1шт</t>
  </si>
  <si>
    <t>2044818294471</t>
  </si>
  <si>
    <t>Шпатели стальные Япончик 4 шт.</t>
  </si>
  <si>
    <t>К/П 21х15 (с. пополам)</t>
  </si>
  <si>
    <t>2043987260881</t>
  </si>
  <si>
    <t>Съемник масляного фильтра (чашка) 65 мм</t>
  </si>
  <si>
    <t>69общ</t>
  </si>
  <si>
    <t>2048372710682</t>
  </si>
  <si>
    <t>Набор для ремонта бескамерных шин (жгуты для ремонта шин)</t>
  </si>
  <si>
    <t>К/П 24x17</t>
  </si>
  <si>
    <t>28общ-21шт, 30общ-9шт</t>
  </si>
  <si>
    <t>2047834936707</t>
  </si>
  <si>
    <t>Контролька автомобильная тестер напряжения 6-12-24В 115 мм</t>
  </si>
  <si>
    <t>42общ-10шт, 48общ-20шт</t>
  </si>
  <si>
    <t>2046561767677</t>
  </si>
  <si>
    <t>Уплотнители проема двери подходят для Гранта, Калина- 4 шт</t>
  </si>
  <si>
    <t>Короб 300х300х150</t>
  </si>
  <si>
    <t>63общ-2шт, 64общ-4шт, 65общ-4шт, 66общ-4шт, 67общ-4шт, 68общ-4шт, 69общ-4шт, 70общ-4шт, 71общ-4шт, 72общ-4шт, 73общ-4шт, 74общ-4шт, 75общ-4шт</t>
  </si>
  <si>
    <t>2049328554572</t>
  </si>
  <si>
    <t>Уплотнители проема двери ВАЗ 2101-2107 компл. 4 шт</t>
  </si>
  <si>
    <t>13общ-4шт, 8общ-2шт, 12общ-4шт, 11общ-4шт, 10общ-4шт, 16общ-4шт, 17общ-4шт, 18общ-4шт, 19общ-4шт, 20общ-4шт, 22общ-4шт, 24общ-4шт, 25общ-4шт, 26общ-4шт, 27общ-4шт, 28общ-2шт</t>
  </si>
  <si>
    <t>2046372047494</t>
  </si>
  <si>
    <t>Уплотнитель крышки багажника ВАЗ 2108-2115</t>
  </si>
  <si>
    <t>Пуп-ка 1м  К/П 40х50</t>
  </si>
  <si>
    <t>16общ-8шт, 17общ-2шт</t>
  </si>
  <si>
    <t>2046372497183</t>
  </si>
  <si>
    <t>Бархотка внутренняя передняя "она же задняя" 21099,2114,2115 2109-</t>
  </si>
  <si>
    <t>К/П 30х40</t>
  </si>
  <si>
    <t>26общ</t>
  </si>
  <si>
    <t>2046387274458</t>
  </si>
  <si>
    <t>Уплотнители проема двери ВАЗ 2109, 2114-2115 компл. 4 шт</t>
  </si>
  <si>
    <t>28общ-2шт, 29общ-4шт, 30общ-4шт, 31общ-4, 32общ-4, 33общ-4шт, 39общ-4шт, 40общ-4шт, 41общ-4шт, 42общ-4шт, 43общ-4шт, 44общ-4шт, 45общ-4шт</t>
  </si>
  <si>
    <t>2046387715913</t>
  </si>
  <si>
    <t>Уплотнитель крышки багажника ВАЗ 2112 Лада</t>
  </si>
  <si>
    <t>Пуп-ка 1м  К/П 30-40</t>
  </si>
  <si>
    <t>35общ-11шт, 36общ-9шт</t>
  </si>
  <si>
    <t>2046391359271</t>
  </si>
  <si>
    <t>Уплотнитель крышки багажника 4260мм для ВАЗ 2121, Нива Урбан</t>
  </si>
  <si>
    <t>20общ-8шт, 26общ-2шт, 29общ-4шт, 34общ-15шт, 35общ-1шт</t>
  </si>
  <si>
    <t>2046390088295</t>
  </si>
  <si>
    <t>Уплотнитель багажника (двери задка) ВАЗ 2123 Нива Шевроле</t>
  </si>
  <si>
    <t>26общ-2шт, 27общ-4шт, 28общ-4шт, 29общ-4шт,  33общ-2шт, 36общ-4шт, 38общ-8шт, 2отд.кор по 11шт, 2отд.кор по 10шт.</t>
  </si>
  <si>
    <t>2046389070324</t>
  </si>
  <si>
    <t>Уплотнители проема двери подходят для Шевроле Нива - 4 шт</t>
  </si>
  <si>
    <t>51общ-4шт, 52общ-4шт, 53общ-4шт, 54общ-4шт, 55общ-4шт, 56общ-4шт,  57общ-4шт, 58общ-4шт, 59общ-4шт, 60общ-4шт,  61общ-4шт, 62общ-4шт, 63общ-2шт</t>
  </si>
  <si>
    <t>2049384229940</t>
  </si>
  <si>
    <t>Уплотнитель проема ДВЕРЕЙ ВАЗ-2170 Приора 4шт.</t>
  </si>
  <si>
    <t xml:space="preserve">1общ-4шт, 2общ-4шт, 3общ-4шт, 4общ-2шт, 5общ-4шт, 6общ-4шт, 7общ-4шт, , 9общ-4шт, </t>
  </si>
  <si>
    <t>2046387156167</t>
  </si>
  <si>
    <t>Уплотнитель крышки багажника Приора (хэтчбек, универсал)</t>
  </si>
  <si>
    <t>17общ-8шт, 18общ-2шт</t>
  </si>
  <si>
    <t>2046386845253</t>
  </si>
  <si>
    <t>Уплотнитель багажника подходит для Lada Largus Ларгус</t>
  </si>
  <si>
    <t>79общ-14шт, 80общ-6шт</t>
  </si>
  <si>
    <t>2049309227877</t>
  </si>
  <si>
    <t>Уплотнитель лобового (ветрового) стекла ВАЗ 2101-2107</t>
  </si>
  <si>
    <t>18общ-3шт, 27общ-2шт</t>
  </si>
  <si>
    <t>2046368912102</t>
  </si>
  <si>
    <t>Ключ разводной сантехнический 200 мм</t>
  </si>
  <si>
    <t>2051080366614</t>
  </si>
  <si>
    <t>Съемник подшипников 3-х лапый 75 мм</t>
  </si>
  <si>
    <t>2051212952999</t>
  </si>
  <si>
    <t>Съемник подшипников 3-х лапый 100 мм</t>
  </si>
  <si>
    <t>20общ-8шт, 31общ-2</t>
  </si>
  <si>
    <t>2051214142770</t>
  </si>
  <si>
    <t>Съемник подшипников 3-х лапый 150 мм</t>
  </si>
  <si>
    <t>23общ</t>
  </si>
  <si>
    <t>2051214958135</t>
  </si>
  <si>
    <t>Съемник подшипников 3-х лапый 200 мм</t>
  </si>
  <si>
    <t>33общ</t>
  </si>
  <si>
    <t>2051229624919</t>
  </si>
  <si>
    <t>Струбцина зажимная G-образная 50 мм металлическая</t>
  </si>
  <si>
    <t>К/П 21х11 (с.пополам)</t>
  </si>
  <si>
    <t>30общ</t>
  </si>
  <si>
    <t>2051081286416</t>
  </si>
  <si>
    <t>Ключ баллонный на 17 Г-образный (балонник автомобильный)</t>
  </si>
  <si>
    <t>25общ</t>
  </si>
  <si>
    <t>2051084797018</t>
  </si>
  <si>
    <t>Ключ баллонный на 19 Г-образный (балонник автомобильный)</t>
  </si>
  <si>
    <t>19общ</t>
  </si>
  <si>
    <t>2051086137867</t>
  </si>
  <si>
    <t>Ключ баллонный на 21 Г-образный (балонник автомобильный)</t>
  </si>
  <si>
    <t>51общ-5шт, 52общ-5шт</t>
  </si>
  <si>
    <t>2051087384185</t>
  </si>
  <si>
    <t>Набор накидных изогнутых гаечных ключей 8 шт.</t>
  </si>
  <si>
    <t>42общ-7шт, 49общ-13шт</t>
  </si>
  <si>
    <t>2048645579862</t>
  </si>
  <si>
    <t>Набор накидных изогнутых гаечных ключей 12 шт.</t>
  </si>
  <si>
    <t>18общ-1шт, 43общ-3шт, 44общ-3шт, 45общ-3шт</t>
  </si>
  <si>
    <t>2051104877089</t>
  </si>
  <si>
    <t>Ключ баллонный на 19 торцевой с лопаткой (балонник автомобильный)</t>
  </si>
  <si>
    <t>40общ-18шт, 41общ-7шт</t>
  </si>
  <si>
    <t>2048645114926</t>
  </si>
  <si>
    <t>Ключ баллонный на 21 торцевой с лопаткой (балонник автомобильный)</t>
  </si>
  <si>
    <t>2048645358665</t>
  </si>
  <si>
    <t>47общ-3шт, 49общ-2шт</t>
  </si>
  <si>
    <t>Кусачки (клещи) строительные торцевые 200 мм</t>
  </si>
  <si>
    <t>К/П 24х17 (с.пополам)</t>
  </si>
  <si>
    <t>18общ</t>
  </si>
  <si>
    <t>2051106477485</t>
  </si>
  <si>
    <t>Набор торцевых трубчатых ключей 8 шт в чехле</t>
  </si>
  <si>
    <t>80общ-2шт, отд.кор-8шт</t>
  </si>
  <si>
    <t>2051108466531</t>
  </si>
  <si>
    <t>Клещи переставные 180 мм (пассатижи переставные)</t>
  </si>
  <si>
    <t>Клеить стикер</t>
  </si>
  <si>
    <t>2048709771157</t>
  </si>
  <si>
    <t>ИТОГО</t>
  </si>
  <si>
    <t>ШТ</t>
  </si>
  <si>
    <t>КГ</t>
  </si>
  <si>
    <t>ЕКБ ВБ ОТ 1.06 - 11122233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</si>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</sst>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"/>
  </numFmts>
  <fonts count="11" x14ac:knownFonts="1">
    <font>
      <sz val="10"/>
      <color rgb="FF000000"/>
      <name val="Arial"/>
      <scheme val="minor"/>
    </font>
    <font>
      <b/>
      <sz val="16"/>
      <color theme="1"/>
      <name val="Arial"/>
    </font>
    <font>
      <sz val="10"/>
      <name val="Arial"/>
    </font>
    <font>
      <sz val="10"/>
      <color theme="1"/>
      <name val="Arial"/>
    </font>
    <font>
      <b/>
      <sz val="14"/>
      <color theme="1"/>
      <name val="Arial"/>
    </font>
    <font>
      <b/>
      <sz val="12"/>
      <color theme="1"/>
      <name val="Calibri"/>
    </font>
    <font>
      <b/>
      <sz val="12"/>
      <color theme="1"/>
      <name val="Arial"/>
    </font>
    <font>
      <sz val="14"/>
      <color theme="1"/>
      <name val="Calibri"/>
    </font>
    <font>
      <sz val="12"/>
      <color theme="1"/>
      <name val="Calibri"/>
    </font>
    <font>
      <sz val="11"/>
      <color rgb="FF333333"/>
      <name val="Arial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 applyFont="1" applyAlignment="1"/>
    <xf numFmtId="49" fontId="3" fillId="2" borderId="0" xfId="0" applyNumberFormat="1" applyFont="1" applyFill="1"/>
    <xf numFmtId="49" fontId="4" fillId="0" borderId="4" xfId="0" applyNumberFormat="1" applyFont="1" applyBorder="1" applyAlignment="1">
      <alignment wrapText="1"/>
    </xf>
    <xf numFmtId="0" fontId="3" fillId="0" borderId="0" xfId="0" applyFont="1"/>
    <xf numFmtId="0" fontId="5" fillId="2" borderId="4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7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wrapText="1"/>
    </xf>
    <xf numFmtId="0" fontId="7" fillId="3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8" fillId="2" borderId="4" xfId="0" applyFont="1" applyFill="1" applyBorder="1" applyAlignment="1">
      <alignment wrapText="1"/>
    </xf>
    <xf numFmtId="20" fontId="8" fillId="0" borderId="4" xfId="0" applyNumberFormat="1" applyFont="1" applyBorder="1" applyAlignment="1">
      <alignment horizontal="right" wrapText="1"/>
    </xf>
    <xf numFmtId="164" fontId="8" fillId="0" borderId="4" xfId="0" applyNumberFormat="1" applyFont="1" applyBorder="1" applyAlignment="1">
      <alignment horizontal="right" wrapText="1"/>
    </xf>
    <xf numFmtId="164" fontId="8" fillId="0" borderId="4" xfId="0" applyNumberFormat="1" applyFont="1" applyBorder="1" applyAlignment="1">
      <alignment horizontal="right" wrapText="1"/>
    </xf>
    <xf numFmtId="0" fontId="3" fillId="0" borderId="4" xfId="0" applyFont="1" applyBorder="1" applyAlignment="1">
      <alignment wrapText="1"/>
    </xf>
    <xf numFmtId="49" fontId="8" fillId="0" borderId="4" xfId="0" applyNumberFormat="1" applyFont="1" applyBorder="1" applyAlignment="1">
      <alignment horizontal="center" wrapText="1"/>
    </xf>
    <xf numFmtId="0" fontId="3" fillId="0" borderId="0" xfId="0" applyFont="1" applyAlignment="1"/>
    <xf numFmtId="0" fontId="8" fillId="2" borderId="4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9" fillId="2" borderId="0" xfId="0" applyFont="1" applyFill="1" applyAlignment="1">
      <alignment wrapText="1"/>
    </xf>
    <xf numFmtId="0" fontId="3" fillId="2" borderId="4" xfId="0" applyFont="1" applyFill="1" applyBorder="1" applyAlignment="1"/>
    <xf numFmtId="0" fontId="8" fillId="0" borderId="4" xfId="0" applyFont="1" applyBorder="1" applyAlignment="1">
      <alignment horizontal="right" wrapText="1"/>
    </xf>
    <xf numFmtId="0" fontId="8" fillId="2" borderId="4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/>
    <xf numFmtId="0" fontId="3" fillId="0" borderId="5" xfId="0" applyFont="1" applyBorder="1" applyAlignment="1"/>
    <xf numFmtId="0" fontId="8" fillId="4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wrapText="1"/>
    </xf>
    <xf numFmtId="0" fontId="3" fillId="2" borderId="4" xfId="0" applyFont="1" applyFill="1" applyBorder="1"/>
    <xf numFmtId="49" fontId="8" fillId="0" borderId="13" xfId="0" applyNumberFormat="1" applyFont="1" applyBorder="1" applyAlignment="1">
      <alignment horizontal="center" wrapText="1"/>
    </xf>
    <xf numFmtId="0" fontId="8" fillId="0" borderId="5" xfId="0" applyFont="1" applyBorder="1" applyAlignment="1">
      <alignment wrapText="1"/>
    </xf>
    <xf numFmtId="49" fontId="8" fillId="0" borderId="7" xfId="0" applyNumberFormat="1" applyFont="1" applyBorder="1" applyAlignment="1">
      <alignment horizontal="center" wrapText="1"/>
    </xf>
    <xf numFmtId="49" fontId="8" fillId="0" borderId="8" xfId="0" applyNumberFormat="1" applyFont="1" applyBorder="1" applyAlignment="1">
      <alignment horizontal="center" wrapText="1"/>
    </xf>
    <xf numFmtId="20" fontId="8" fillId="0" borderId="4" xfId="0" applyNumberFormat="1" applyFont="1" applyBorder="1" applyAlignment="1">
      <alignment wrapText="1"/>
    </xf>
    <xf numFmtId="20" fontId="8" fillId="0" borderId="4" xfId="0" applyNumberFormat="1" applyFont="1" applyBorder="1" applyAlignment="1">
      <alignment horizontal="right" wrapText="1"/>
    </xf>
    <xf numFmtId="0" fontId="8" fillId="0" borderId="4" xfId="0" applyFont="1" applyBorder="1" applyAlignment="1">
      <alignment horizontal="center" vertical="center" wrapText="1"/>
    </xf>
    <xf numFmtId="0" fontId="8" fillId="2" borderId="4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49" fontId="3" fillId="0" borderId="0" xfId="0" applyNumberFormat="1" applyFont="1" applyAlignment="1"/>
    <xf numFmtId="0" fontId="8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3" fillId="0" borderId="4" xfId="0" applyFont="1" applyBorder="1" applyAlignment="1"/>
    <xf numFmtId="0" fontId="3" fillId="0" borderId="0" xfId="0" applyFont="1" applyAlignment="1">
      <alignment wrapText="1"/>
    </xf>
    <xf numFmtId="0" fontId="10" fillId="0" borderId="0" xfId="0" applyFont="1" applyAlignment="1">
      <alignment wrapText="1"/>
    </xf>
    <xf numFmtId="49" fontId="10" fillId="0" borderId="0" xfId="0" applyNumberFormat="1" applyFont="1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0" fillId="0" borderId="0" xfId="0" applyFont="1" applyAlignment="1"/>
    <xf numFmtId="0" fontId="2" fillId="0" borderId="6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3" fillId="0" borderId="7" xfId="0" applyFont="1" applyBorder="1" applyAlignment="1">
      <alignment wrapText="1"/>
    </xf>
    <xf numFmtId="0" fontId="2" fillId="0" borderId="11" xfId="0" applyFont="1" applyBorder="1"/>
    <xf numFmtId="0" fontId="2" fillId="0" borderId="12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1032"/>
  <sheetViews>
    <sheetView tabSelected="1" workbookViewId="0">
      <selection activeCell="H7" sqref="H7"/>
    </sheetView>
  </sheetViews>
  <sheetFormatPr defaultColWidth="12.5703125" defaultRowHeight="15.75" customHeight="1" x14ac:dyDescent="0.2"/>
  <cols>
    <col min="1" max="1" width="19.85546875" customWidth="1"/>
    <col min="2" max="2" width="23.28515625" customWidth="1"/>
    <col min="5" max="5" width="14.5703125" customWidth="1"/>
    <col min="7" max="8" width="17.140625" customWidth="1"/>
    <col min="12" max="12" width="16.42578125" customWidth="1"/>
    <col min="13" max="13" width="19.28515625" customWidth="1"/>
    <col min="14" max="14" width="15.140625" customWidth="1"/>
    <col min="15" max="15" width="18.140625" customWidth="1"/>
    <col min="16" max="16" width="16" customWidth="1"/>
  </cols>
  <sheetData>
    <row r="1" spans="1:26" ht="36" x14ac:dyDescent="0.25">
      <c r="A1" s="47" t="s">
        <v>355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9"/>
      <c r="N1" s="1"/>
      <c r="O1" s="2" t="s">
        <v>0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x14ac:dyDescent="0.2">
      <c r="A2" s="50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2"/>
      <c r="N2" s="1"/>
      <c r="O2" s="56" t="s">
        <v>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x14ac:dyDescent="0.2">
      <c r="A3" s="53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5"/>
      <c r="N3" s="1"/>
      <c r="O3" s="57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1.5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5" t="s">
        <v>14</v>
      </c>
      <c r="N4" s="1"/>
      <c r="O4" s="58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48" x14ac:dyDescent="0.3">
      <c r="A5" s="6" t="s">
        <v>356</v>
      </c>
      <c r="B5" s="7" t="s">
        <v>15</v>
      </c>
      <c r="C5" s="8">
        <v>30</v>
      </c>
      <c r="D5" s="9">
        <v>7.65</v>
      </c>
      <c r="E5" s="7" t="s">
        <v>16</v>
      </c>
      <c r="F5" s="7" t="s">
        <v>17</v>
      </c>
      <c r="G5" s="10"/>
      <c r="H5" s="10"/>
      <c r="I5" s="11">
        <v>0.30277777777777776</v>
      </c>
      <c r="J5" s="12">
        <v>46177</v>
      </c>
      <c r="K5" s="13"/>
      <c r="L5" s="14"/>
      <c r="M5" s="10"/>
      <c r="N5" s="15" t="s">
        <v>18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48" x14ac:dyDescent="0.3">
      <c r="A6" s="6" t="s">
        <v>357</v>
      </c>
      <c r="B6" s="7" t="s">
        <v>19</v>
      </c>
      <c r="C6" s="8">
        <v>20</v>
      </c>
      <c r="D6" s="9">
        <v>4.7</v>
      </c>
      <c r="E6" s="17" t="s">
        <v>16</v>
      </c>
      <c r="F6" s="7" t="s">
        <v>20</v>
      </c>
      <c r="G6" s="10"/>
      <c r="H6" s="10"/>
      <c r="I6" s="11">
        <v>0.4465277777777778</v>
      </c>
      <c r="J6" s="12">
        <v>46177</v>
      </c>
      <c r="K6" s="13"/>
      <c r="L6" s="18"/>
      <c r="M6" s="10"/>
      <c r="N6" s="15" t="s">
        <v>21</v>
      </c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243.75" x14ac:dyDescent="0.3">
      <c r="A7" s="6" t="s">
        <v>358</v>
      </c>
      <c r="B7" s="7" t="s">
        <v>22</v>
      </c>
      <c r="C7" s="8">
        <v>5</v>
      </c>
      <c r="D7" s="9">
        <v>0.86499999999999999</v>
      </c>
      <c r="E7" s="17" t="s">
        <v>16</v>
      </c>
      <c r="F7" s="7" t="s">
        <v>23</v>
      </c>
      <c r="G7" s="10"/>
      <c r="H7" s="10"/>
      <c r="I7" s="11">
        <v>0.43125000000000002</v>
      </c>
      <c r="J7" s="12">
        <v>46177</v>
      </c>
      <c r="K7" s="13"/>
      <c r="L7" s="18"/>
      <c r="M7" s="10"/>
      <c r="N7" s="15" t="s">
        <v>24</v>
      </c>
      <c r="O7" s="16"/>
      <c r="P7" s="19" t="s">
        <v>25</v>
      </c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48" x14ac:dyDescent="0.3">
      <c r="A8" s="6" t="s">
        <v>359</v>
      </c>
      <c r="B8" s="7" t="s">
        <v>26</v>
      </c>
      <c r="C8" s="8">
        <v>20</v>
      </c>
      <c r="D8" s="9">
        <v>4.24</v>
      </c>
      <c r="E8" s="17" t="s">
        <v>16</v>
      </c>
      <c r="F8" s="7" t="s">
        <v>27</v>
      </c>
      <c r="G8" s="10"/>
      <c r="H8" s="20"/>
      <c r="I8" s="11">
        <v>0.43541666666666667</v>
      </c>
      <c r="J8" s="12">
        <v>46177</v>
      </c>
      <c r="K8" s="21" t="s">
        <v>28</v>
      </c>
      <c r="L8" s="22"/>
      <c r="M8" s="10"/>
      <c r="N8" s="15" t="s">
        <v>29</v>
      </c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39.75" customHeight="1" x14ac:dyDescent="0.3">
      <c r="A9" s="6" t="s">
        <v>360</v>
      </c>
      <c r="B9" s="7" t="s">
        <v>30</v>
      </c>
      <c r="C9" s="8">
        <v>10</v>
      </c>
      <c r="D9" s="9">
        <v>2.5499999999999998</v>
      </c>
      <c r="E9" s="17" t="s">
        <v>16</v>
      </c>
      <c r="F9" s="7" t="s">
        <v>31</v>
      </c>
      <c r="G9" s="10"/>
      <c r="H9" s="10"/>
      <c r="I9" s="11">
        <v>0.49236111111111114</v>
      </c>
      <c r="J9" s="12">
        <v>46177</v>
      </c>
      <c r="K9" s="21" t="s">
        <v>32</v>
      </c>
      <c r="L9" s="18"/>
      <c r="M9" s="10"/>
      <c r="N9" s="15" t="s">
        <v>33</v>
      </c>
      <c r="O9" s="16"/>
      <c r="P9" s="23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48" x14ac:dyDescent="0.3">
      <c r="A10" s="6" t="s">
        <v>361</v>
      </c>
      <c r="B10" s="7" t="s">
        <v>34</v>
      </c>
      <c r="C10" s="8">
        <v>15</v>
      </c>
      <c r="D10" s="9">
        <v>3</v>
      </c>
      <c r="E10" s="17" t="s">
        <v>16</v>
      </c>
      <c r="F10" s="7" t="s">
        <v>17</v>
      </c>
      <c r="G10" s="10"/>
      <c r="H10" s="10"/>
      <c r="I10" s="11">
        <v>0.3125</v>
      </c>
      <c r="J10" s="12">
        <v>46177</v>
      </c>
      <c r="K10" s="13"/>
      <c r="L10" s="18"/>
      <c r="M10" s="10"/>
      <c r="N10" s="15" t="s">
        <v>35</v>
      </c>
      <c r="O10" s="16"/>
      <c r="P10" s="24" t="s">
        <v>36</v>
      </c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48" x14ac:dyDescent="0.3">
      <c r="A11" s="6" t="s">
        <v>362</v>
      </c>
      <c r="B11" s="7" t="s">
        <v>37</v>
      </c>
      <c r="C11" s="8">
        <v>14</v>
      </c>
      <c r="D11" s="9">
        <v>4.41</v>
      </c>
      <c r="E11" s="17" t="s">
        <v>38</v>
      </c>
      <c r="F11" s="7" t="s">
        <v>39</v>
      </c>
      <c r="G11" s="10"/>
      <c r="H11" s="10"/>
      <c r="I11" s="11">
        <v>0.68472222222222223</v>
      </c>
      <c r="J11" s="12">
        <v>46177</v>
      </c>
      <c r="K11" s="21"/>
      <c r="L11" s="18"/>
      <c r="M11" s="10"/>
      <c r="N11" s="15" t="s">
        <v>40</v>
      </c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32.25" x14ac:dyDescent="0.3">
      <c r="A12" s="6" t="s">
        <v>363</v>
      </c>
      <c r="B12" s="7" t="s">
        <v>41</v>
      </c>
      <c r="C12" s="8">
        <v>10</v>
      </c>
      <c r="D12" s="9">
        <v>2.5499999999999998</v>
      </c>
      <c r="E12" s="17" t="s">
        <v>16</v>
      </c>
      <c r="F12" s="7" t="s">
        <v>42</v>
      </c>
      <c r="G12" s="10"/>
      <c r="H12" s="10"/>
      <c r="I12" s="11">
        <v>0.49375000000000002</v>
      </c>
      <c r="J12" s="12">
        <v>46177</v>
      </c>
      <c r="K12" s="13"/>
      <c r="L12" s="18"/>
      <c r="M12" s="10"/>
      <c r="N12" s="15" t="s">
        <v>43</v>
      </c>
      <c r="O12" s="25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32.25" x14ac:dyDescent="0.3">
      <c r="A13" s="6" t="s">
        <v>364</v>
      </c>
      <c r="B13" s="7" t="s">
        <v>44</v>
      </c>
      <c r="C13" s="8">
        <v>1</v>
      </c>
      <c r="D13" s="9">
        <v>0.35</v>
      </c>
      <c r="E13" s="17" t="s">
        <v>45</v>
      </c>
      <c r="F13" s="7" t="s">
        <v>39</v>
      </c>
      <c r="G13" s="10"/>
      <c r="H13" s="10"/>
      <c r="I13" s="11">
        <v>0.68958333333333333</v>
      </c>
      <c r="J13" s="12">
        <v>46177</v>
      </c>
      <c r="K13" s="13"/>
      <c r="L13" s="18"/>
      <c r="M13" s="10"/>
      <c r="N13" s="15" t="s">
        <v>46</v>
      </c>
      <c r="O13" s="16"/>
      <c r="P13" s="24" t="s">
        <v>47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48" x14ac:dyDescent="0.3">
      <c r="A14" s="6" t="s">
        <v>365</v>
      </c>
      <c r="B14" s="7" t="s">
        <v>48</v>
      </c>
      <c r="C14" s="8">
        <v>1</v>
      </c>
      <c r="D14" s="9">
        <v>0.36499999999999999</v>
      </c>
      <c r="E14" s="17" t="s">
        <v>45</v>
      </c>
      <c r="F14" s="7" t="s">
        <v>49</v>
      </c>
      <c r="G14" s="10"/>
      <c r="H14" s="22"/>
      <c r="I14" s="11">
        <v>0.54513888888888884</v>
      </c>
      <c r="J14" s="12">
        <v>46175</v>
      </c>
      <c r="K14" s="26" t="s">
        <v>50</v>
      </c>
      <c r="L14" s="18"/>
      <c r="M14" s="10"/>
      <c r="N14" s="15" t="s">
        <v>51</v>
      </c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26.75" x14ac:dyDescent="0.3">
      <c r="A15" s="6" t="s">
        <v>366</v>
      </c>
      <c r="B15" s="7" t="s">
        <v>52</v>
      </c>
      <c r="C15" s="8">
        <v>200</v>
      </c>
      <c r="D15" s="9">
        <v>52.4</v>
      </c>
      <c r="E15" s="17" t="s">
        <v>16</v>
      </c>
      <c r="F15" s="7" t="s">
        <v>53</v>
      </c>
      <c r="G15" s="10"/>
      <c r="H15" s="10"/>
      <c r="I15" s="11">
        <v>0.68402777777777779</v>
      </c>
      <c r="J15" s="12">
        <v>46175</v>
      </c>
      <c r="K15" s="27" t="s">
        <v>54</v>
      </c>
      <c r="L15" s="28" t="s">
        <v>55</v>
      </c>
      <c r="M15" s="10"/>
      <c r="N15" s="15" t="s">
        <v>56</v>
      </c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48" x14ac:dyDescent="0.3">
      <c r="A16" s="6" t="s">
        <v>367</v>
      </c>
      <c r="B16" s="7" t="s">
        <v>57</v>
      </c>
      <c r="C16" s="8">
        <v>40</v>
      </c>
      <c r="D16" s="9">
        <v>1.84</v>
      </c>
      <c r="E16" s="17" t="s">
        <v>58</v>
      </c>
      <c r="F16" s="7" t="s">
        <v>59</v>
      </c>
      <c r="G16" s="10"/>
      <c r="H16" s="20"/>
      <c r="I16" s="11">
        <v>0.51597222222222228</v>
      </c>
      <c r="J16" s="12">
        <v>46175</v>
      </c>
      <c r="K16" s="13"/>
      <c r="L16" s="18"/>
      <c r="M16" s="10"/>
      <c r="N16" s="15" t="s">
        <v>60</v>
      </c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63.75" x14ac:dyDescent="0.3">
      <c r="A17" s="6" t="s">
        <v>368</v>
      </c>
      <c r="B17" s="7" t="s">
        <v>61</v>
      </c>
      <c r="C17" s="8">
        <v>20</v>
      </c>
      <c r="D17" s="9">
        <v>14.4</v>
      </c>
      <c r="E17" s="17" t="s">
        <v>62</v>
      </c>
      <c r="F17" s="7" t="s">
        <v>63</v>
      </c>
      <c r="G17" s="10"/>
      <c r="H17" s="10"/>
      <c r="I17" s="11">
        <v>0.50069444444444444</v>
      </c>
      <c r="J17" s="12">
        <v>46177</v>
      </c>
      <c r="K17" s="13"/>
      <c r="L17" s="18"/>
      <c r="M17" s="10"/>
      <c r="N17" s="15" t="s">
        <v>64</v>
      </c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63.75" x14ac:dyDescent="0.3">
      <c r="A18" s="6" t="s">
        <v>369</v>
      </c>
      <c r="B18" s="7" t="s">
        <v>65</v>
      </c>
      <c r="C18" s="8">
        <v>20</v>
      </c>
      <c r="D18" s="9">
        <v>94</v>
      </c>
      <c r="E18" s="17" t="s">
        <v>66</v>
      </c>
      <c r="F18" s="7" t="s">
        <v>67</v>
      </c>
      <c r="G18" s="10"/>
      <c r="H18" s="29"/>
      <c r="I18" s="11">
        <v>0.33750000000000002</v>
      </c>
      <c r="J18" s="12">
        <v>46176</v>
      </c>
      <c r="K18" s="26" t="s">
        <v>50</v>
      </c>
      <c r="L18" s="18"/>
      <c r="M18" s="10"/>
      <c r="N18" s="30" t="s">
        <v>68</v>
      </c>
      <c r="O18" s="31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32.25" x14ac:dyDescent="0.3">
      <c r="A19" s="6" t="s">
        <v>370</v>
      </c>
      <c r="B19" s="7" t="s">
        <v>69</v>
      </c>
      <c r="C19" s="8">
        <v>5</v>
      </c>
      <c r="D19" s="9">
        <v>0.625</v>
      </c>
      <c r="E19" s="17" t="s">
        <v>70</v>
      </c>
      <c r="F19" s="7" t="s">
        <v>71</v>
      </c>
      <c r="G19" s="10"/>
      <c r="H19" s="10"/>
      <c r="I19" s="11">
        <v>0.67708333333333337</v>
      </c>
      <c r="J19" s="12">
        <v>46177</v>
      </c>
      <c r="K19" s="13"/>
      <c r="L19" s="18"/>
      <c r="M19" s="10"/>
      <c r="N19" s="15" t="s">
        <v>72</v>
      </c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48" x14ac:dyDescent="0.3">
      <c r="A20" s="6" t="s">
        <v>371</v>
      </c>
      <c r="B20" s="7" t="s">
        <v>73</v>
      </c>
      <c r="C20" s="8">
        <v>2</v>
      </c>
      <c r="D20" s="9">
        <v>0.34</v>
      </c>
      <c r="E20" s="17" t="s">
        <v>74</v>
      </c>
      <c r="F20" s="7" t="s">
        <v>71</v>
      </c>
      <c r="G20" s="10"/>
      <c r="H20" s="10"/>
      <c r="I20" s="11">
        <v>0.67708333333333337</v>
      </c>
      <c r="J20" s="12">
        <v>46177</v>
      </c>
      <c r="K20" s="13"/>
      <c r="L20" s="18"/>
      <c r="M20" s="10"/>
      <c r="N20" s="15" t="s">
        <v>75</v>
      </c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48" x14ac:dyDescent="0.3">
      <c r="A21" s="6" t="s">
        <v>372</v>
      </c>
      <c r="B21" s="7" t="s">
        <v>76</v>
      </c>
      <c r="C21" s="8">
        <v>30</v>
      </c>
      <c r="D21" s="9">
        <v>6.6</v>
      </c>
      <c r="E21" s="17" t="s">
        <v>16</v>
      </c>
      <c r="F21" s="7" t="s">
        <v>77</v>
      </c>
      <c r="G21" s="10"/>
      <c r="H21" s="10"/>
      <c r="I21" s="11">
        <v>0.55833333333333335</v>
      </c>
      <c r="J21" s="12">
        <v>46176</v>
      </c>
      <c r="K21" s="27" t="s">
        <v>78</v>
      </c>
      <c r="L21" s="28" t="s">
        <v>79</v>
      </c>
      <c r="M21" s="10"/>
      <c r="N21" s="15" t="s">
        <v>80</v>
      </c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32.25" x14ac:dyDescent="0.3">
      <c r="A22" s="6" t="s">
        <v>373</v>
      </c>
      <c r="B22" s="7" t="s">
        <v>81</v>
      </c>
      <c r="C22" s="8">
        <v>20</v>
      </c>
      <c r="D22" s="9">
        <v>4.7</v>
      </c>
      <c r="E22" s="17" t="s">
        <v>16</v>
      </c>
      <c r="F22" s="7" t="s">
        <v>82</v>
      </c>
      <c r="G22" s="10"/>
      <c r="H22" s="29"/>
      <c r="I22" s="11">
        <v>0.32500000000000001</v>
      </c>
      <c r="J22" s="12">
        <v>46176</v>
      </c>
      <c r="K22" s="26" t="s">
        <v>50</v>
      </c>
      <c r="L22" s="22"/>
      <c r="M22" s="10"/>
      <c r="N22" s="32" t="s">
        <v>83</v>
      </c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48" x14ac:dyDescent="0.3">
      <c r="A23" s="6" t="s">
        <v>374</v>
      </c>
      <c r="B23" s="7" t="s">
        <v>84</v>
      </c>
      <c r="C23" s="8">
        <v>5</v>
      </c>
      <c r="D23" s="9">
        <v>3.3</v>
      </c>
      <c r="E23" s="17" t="s">
        <v>62</v>
      </c>
      <c r="F23" s="7" t="s">
        <v>85</v>
      </c>
      <c r="G23" s="10"/>
      <c r="H23" s="10"/>
      <c r="I23" s="11">
        <v>0.42777777777777776</v>
      </c>
      <c r="J23" s="12">
        <v>46177</v>
      </c>
      <c r="K23" s="13"/>
      <c r="L23" s="18"/>
      <c r="M23" s="10"/>
      <c r="N23" s="15" t="s">
        <v>86</v>
      </c>
      <c r="O23" s="3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32.25" x14ac:dyDescent="0.3">
      <c r="A24" s="6" t="s">
        <v>375</v>
      </c>
      <c r="B24" s="7" t="s">
        <v>87</v>
      </c>
      <c r="C24" s="8">
        <v>10</v>
      </c>
      <c r="D24" s="9">
        <v>6.4</v>
      </c>
      <c r="E24" s="17" t="s">
        <v>62</v>
      </c>
      <c r="F24" s="7" t="s">
        <v>88</v>
      </c>
      <c r="G24" s="10"/>
      <c r="H24" s="10"/>
      <c r="I24" s="11">
        <v>0.47430555555555554</v>
      </c>
      <c r="J24" s="12">
        <v>46177</v>
      </c>
      <c r="K24" s="13"/>
      <c r="L24" s="22"/>
      <c r="M24" s="10"/>
      <c r="N24" s="33" t="s">
        <v>89</v>
      </c>
      <c r="O24" s="25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48" x14ac:dyDescent="0.3">
      <c r="A25" s="6" t="s">
        <v>376</v>
      </c>
      <c r="B25" s="7" t="s">
        <v>90</v>
      </c>
      <c r="C25" s="8">
        <v>6</v>
      </c>
      <c r="D25" s="9">
        <v>4.62</v>
      </c>
      <c r="E25" s="17" t="s">
        <v>91</v>
      </c>
      <c r="F25" s="7" t="s">
        <v>82</v>
      </c>
      <c r="G25" s="10"/>
      <c r="H25" s="22"/>
      <c r="I25" s="11">
        <v>0.32291666666666669</v>
      </c>
      <c r="J25" s="12">
        <v>46176</v>
      </c>
      <c r="K25" s="26" t="s">
        <v>50</v>
      </c>
      <c r="L25" s="18"/>
      <c r="M25" s="10"/>
      <c r="N25" s="15" t="s">
        <v>92</v>
      </c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79.5" x14ac:dyDescent="0.3">
      <c r="A26" s="6" t="s">
        <v>377</v>
      </c>
      <c r="B26" s="7" t="s">
        <v>93</v>
      </c>
      <c r="C26" s="8">
        <v>30</v>
      </c>
      <c r="D26" s="9">
        <v>22.8</v>
      </c>
      <c r="E26" s="17" t="s">
        <v>94</v>
      </c>
      <c r="F26" s="7" t="s">
        <v>95</v>
      </c>
      <c r="G26" s="10"/>
      <c r="H26" s="10"/>
      <c r="I26" s="11">
        <v>0.69444444444444442</v>
      </c>
      <c r="J26" s="12">
        <v>46176</v>
      </c>
      <c r="K26" s="26" t="s">
        <v>96</v>
      </c>
      <c r="L26" s="28" t="s">
        <v>97</v>
      </c>
      <c r="M26" s="10"/>
      <c r="N26" s="15" t="s">
        <v>98</v>
      </c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79.5" x14ac:dyDescent="0.3">
      <c r="A27" s="6" t="s">
        <v>378</v>
      </c>
      <c r="B27" s="7" t="s">
        <v>99</v>
      </c>
      <c r="C27" s="8">
        <v>30</v>
      </c>
      <c r="D27" s="9">
        <v>8.25</v>
      </c>
      <c r="E27" s="17" t="s">
        <v>66</v>
      </c>
      <c r="F27" s="7" t="s">
        <v>100</v>
      </c>
      <c r="G27" s="10"/>
      <c r="H27" s="10"/>
      <c r="I27" s="11">
        <v>0.59027777777777779</v>
      </c>
      <c r="J27" s="12">
        <v>46176</v>
      </c>
      <c r="K27" s="13"/>
      <c r="L27" s="18"/>
      <c r="M27" s="10"/>
      <c r="N27" s="15" t="s">
        <v>101</v>
      </c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32.25" x14ac:dyDescent="0.3">
      <c r="A28" s="6" t="s">
        <v>379</v>
      </c>
      <c r="B28" s="7" t="s">
        <v>102</v>
      </c>
      <c r="C28" s="8">
        <v>5</v>
      </c>
      <c r="D28" s="9">
        <v>2.2999999999999998</v>
      </c>
      <c r="E28" s="17" t="s">
        <v>103</v>
      </c>
      <c r="F28" s="7" t="s">
        <v>104</v>
      </c>
      <c r="G28" s="10"/>
      <c r="H28" s="20"/>
      <c r="I28" s="11">
        <v>0.61388888888888893</v>
      </c>
      <c r="J28" s="12">
        <v>46177</v>
      </c>
      <c r="K28" s="13"/>
      <c r="L28" s="22"/>
      <c r="M28" s="10"/>
      <c r="N28" s="15" t="s">
        <v>105</v>
      </c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48" x14ac:dyDescent="0.3">
      <c r="A29" s="6" t="s">
        <v>380</v>
      </c>
      <c r="B29" s="7" t="s">
        <v>106</v>
      </c>
      <c r="C29" s="8">
        <v>3</v>
      </c>
      <c r="D29" s="9">
        <v>2.25</v>
      </c>
      <c r="E29" s="17" t="s">
        <v>107</v>
      </c>
      <c r="F29" s="7" t="s">
        <v>108</v>
      </c>
      <c r="G29" s="10"/>
      <c r="H29" s="10"/>
      <c r="I29" s="11">
        <v>0.70416666666666672</v>
      </c>
      <c r="J29" s="12">
        <v>46175</v>
      </c>
      <c r="K29" s="13"/>
      <c r="L29" s="18"/>
      <c r="M29" s="10"/>
      <c r="N29" s="15" t="s">
        <v>109</v>
      </c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48" x14ac:dyDescent="0.3">
      <c r="A30" s="6" t="s">
        <v>381</v>
      </c>
      <c r="B30" s="7" t="s">
        <v>110</v>
      </c>
      <c r="C30" s="8">
        <v>3</v>
      </c>
      <c r="D30" s="9">
        <v>8.4</v>
      </c>
      <c r="E30" s="17" t="s">
        <v>66</v>
      </c>
      <c r="F30" s="7" t="s">
        <v>49</v>
      </c>
      <c r="G30" s="10"/>
      <c r="H30" s="22"/>
      <c r="I30" s="11">
        <v>0.54166666666666663</v>
      </c>
      <c r="J30" s="12">
        <v>46175</v>
      </c>
      <c r="K30" s="26" t="s">
        <v>50</v>
      </c>
      <c r="L30" s="18"/>
      <c r="M30" s="10"/>
      <c r="N30" s="15" t="s">
        <v>111</v>
      </c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95.25" x14ac:dyDescent="0.3">
      <c r="A31" s="6" t="s">
        <v>382</v>
      </c>
      <c r="B31" s="7" t="s">
        <v>112</v>
      </c>
      <c r="C31" s="8">
        <v>70</v>
      </c>
      <c r="D31" s="9">
        <v>9.8000000000000007</v>
      </c>
      <c r="E31" s="17" t="s">
        <v>107</v>
      </c>
      <c r="F31" s="7" t="s">
        <v>113</v>
      </c>
      <c r="G31" s="10"/>
      <c r="H31" s="29"/>
      <c r="I31" s="11">
        <v>0.60277777777777775</v>
      </c>
      <c r="J31" s="12">
        <v>46175</v>
      </c>
      <c r="K31" s="26" t="s">
        <v>50</v>
      </c>
      <c r="L31" s="18"/>
      <c r="M31" s="10"/>
      <c r="N31" s="30" t="s">
        <v>114</v>
      </c>
      <c r="O31" s="31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63.75" x14ac:dyDescent="0.3">
      <c r="A32" s="6" t="s">
        <v>383</v>
      </c>
      <c r="B32" s="7" t="s">
        <v>115</v>
      </c>
      <c r="C32" s="8">
        <v>10</v>
      </c>
      <c r="D32" s="9">
        <v>1.87</v>
      </c>
      <c r="E32" s="17" t="s">
        <v>107</v>
      </c>
      <c r="F32" s="7" t="s">
        <v>116</v>
      </c>
      <c r="G32" s="10"/>
      <c r="H32" s="20"/>
      <c r="I32" s="12">
        <v>46180</v>
      </c>
      <c r="J32" s="12">
        <v>46176</v>
      </c>
      <c r="K32" s="13"/>
      <c r="L32" s="22"/>
      <c r="M32" s="10"/>
      <c r="N32" s="15" t="s">
        <v>117</v>
      </c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63.75" x14ac:dyDescent="0.3">
      <c r="A33" s="6" t="s">
        <v>384</v>
      </c>
      <c r="B33" s="7" t="s">
        <v>118</v>
      </c>
      <c r="C33" s="8">
        <v>10</v>
      </c>
      <c r="D33" s="9">
        <v>1.4</v>
      </c>
      <c r="E33" s="17" t="s">
        <v>107</v>
      </c>
      <c r="F33" s="7" t="s">
        <v>59</v>
      </c>
      <c r="G33" s="10"/>
      <c r="H33" s="22"/>
      <c r="I33" s="11">
        <v>0.51388888888888884</v>
      </c>
      <c r="J33" s="12">
        <v>46175</v>
      </c>
      <c r="K33" s="26" t="s">
        <v>50</v>
      </c>
      <c r="L33" s="18"/>
      <c r="M33" s="10"/>
      <c r="N33" s="15" t="s">
        <v>119</v>
      </c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48" x14ac:dyDescent="0.3">
      <c r="A34" s="6" t="s">
        <v>385</v>
      </c>
      <c r="B34" s="7" t="s">
        <v>120</v>
      </c>
      <c r="C34" s="8">
        <v>20</v>
      </c>
      <c r="D34" s="9">
        <v>4.46</v>
      </c>
      <c r="E34" s="17" t="s">
        <v>121</v>
      </c>
      <c r="F34" s="7" t="s">
        <v>122</v>
      </c>
      <c r="G34" s="10"/>
      <c r="H34" s="10"/>
      <c r="I34" s="11">
        <v>0.64930555555555558</v>
      </c>
      <c r="J34" s="12">
        <v>46177</v>
      </c>
      <c r="K34" s="13"/>
      <c r="L34" s="18"/>
      <c r="M34" s="10"/>
      <c r="N34" s="15" t="s">
        <v>123</v>
      </c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48" x14ac:dyDescent="0.3">
      <c r="A35" s="6" t="s">
        <v>386</v>
      </c>
      <c r="B35" s="7" t="s">
        <v>124</v>
      </c>
      <c r="C35" s="8">
        <v>15</v>
      </c>
      <c r="D35" s="9">
        <v>4.4400000000000004</v>
      </c>
      <c r="E35" s="17" t="s">
        <v>121</v>
      </c>
      <c r="F35" s="7" t="s">
        <v>125</v>
      </c>
      <c r="G35" s="10"/>
      <c r="H35" s="20"/>
      <c r="I35" s="34">
        <v>0.53472222222222221</v>
      </c>
      <c r="J35" s="12">
        <v>46175</v>
      </c>
      <c r="K35" s="13"/>
      <c r="L35" s="22"/>
      <c r="M35" s="10"/>
      <c r="N35" s="15" t="s">
        <v>126</v>
      </c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79.5" x14ac:dyDescent="0.3">
      <c r="A36" s="6" t="s">
        <v>387</v>
      </c>
      <c r="B36" s="7" t="s">
        <v>127</v>
      </c>
      <c r="C36" s="8">
        <v>10</v>
      </c>
      <c r="D36" s="9">
        <v>1.95</v>
      </c>
      <c r="E36" s="17" t="s">
        <v>107</v>
      </c>
      <c r="F36" s="7" t="s">
        <v>128</v>
      </c>
      <c r="G36" s="10"/>
      <c r="H36" s="29"/>
      <c r="I36" s="11">
        <v>0.42083333333333334</v>
      </c>
      <c r="J36" s="12">
        <v>46175</v>
      </c>
      <c r="K36" s="26" t="s">
        <v>50</v>
      </c>
      <c r="L36" s="18"/>
      <c r="M36" s="10"/>
      <c r="N36" s="15" t="s">
        <v>129</v>
      </c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95.25" x14ac:dyDescent="0.3">
      <c r="A37" s="6" t="s">
        <v>388</v>
      </c>
      <c r="B37" s="7" t="s">
        <v>130</v>
      </c>
      <c r="C37" s="8">
        <v>3</v>
      </c>
      <c r="D37" s="9">
        <v>0.41699999999999998</v>
      </c>
      <c r="E37" s="17" t="s">
        <v>107</v>
      </c>
      <c r="F37" s="7" t="s">
        <v>131</v>
      </c>
      <c r="G37" s="10"/>
      <c r="H37" s="10"/>
      <c r="I37" s="11">
        <v>0.6</v>
      </c>
      <c r="J37" s="12">
        <v>46175</v>
      </c>
      <c r="K37" s="13"/>
      <c r="L37" s="18"/>
      <c r="M37" s="10"/>
      <c r="N37" s="15" t="s">
        <v>132</v>
      </c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48" x14ac:dyDescent="0.3">
      <c r="A38" s="6" t="s">
        <v>389</v>
      </c>
      <c r="B38" s="7" t="s">
        <v>133</v>
      </c>
      <c r="C38" s="8">
        <v>10</v>
      </c>
      <c r="D38" s="9">
        <v>0.48</v>
      </c>
      <c r="E38" s="7" t="s">
        <v>107</v>
      </c>
      <c r="F38" s="7" t="s">
        <v>49</v>
      </c>
      <c r="G38" s="10"/>
      <c r="H38" s="20"/>
      <c r="I38" s="11">
        <v>0.54861111111111116</v>
      </c>
      <c r="J38" s="12">
        <v>46175</v>
      </c>
      <c r="K38" s="13"/>
      <c r="L38" s="22"/>
      <c r="M38" s="10"/>
      <c r="N38" s="15" t="s">
        <v>134</v>
      </c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11" x14ac:dyDescent="0.3">
      <c r="A39" s="6" t="s">
        <v>390</v>
      </c>
      <c r="B39" s="7" t="s">
        <v>135</v>
      </c>
      <c r="C39" s="8">
        <v>60</v>
      </c>
      <c r="D39" s="9">
        <v>14.7</v>
      </c>
      <c r="E39" s="7" t="s">
        <v>121</v>
      </c>
      <c r="F39" s="7" t="s">
        <v>136</v>
      </c>
      <c r="G39" s="10"/>
      <c r="H39" s="20"/>
      <c r="I39" s="11">
        <v>0.57708333333333328</v>
      </c>
      <c r="J39" s="12">
        <v>46175</v>
      </c>
      <c r="K39" s="13"/>
      <c r="L39" s="18"/>
      <c r="M39" s="10"/>
      <c r="N39" s="15" t="s">
        <v>137</v>
      </c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95.25" x14ac:dyDescent="0.3">
      <c r="A40" s="6" t="s">
        <v>391</v>
      </c>
      <c r="B40" s="7" t="s">
        <v>138</v>
      </c>
      <c r="C40" s="8">
        <v>50</v>
      </c>
      <c r="D40" s="9">
        <v>11</v>
      </c>
      <c r="E40" s="7" t="s">
        <v>107</v>
      </c>
      <c r="F40" s="7" t="s">
        <v>139</v>
      </c>
      <c r="G40" s="10"/>
      <c r="H40" s="10"/>
      <c r="I40" s="11">
        <v>0.34722222222222221</v>
      </c>
      <c r="J40" s="12">
        <v>46176</v>
      </c>
      <c r="K40" s="21"/>
      <c r="L40" s="28" t="s">
        <v>140</v>
      </c>
      <c r="M40" s="10"/>
      <c r="N40" s="15" t="s">
        <v>141</v>
      </c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63.75" x14ac:dyDescent="0.3">
      <c r="A41" s="6" t="s">
        <v>392</v>
      </c>
      <c r="B41" s="7" t="s">
        <v>142</v>
      </c>
      <c r="C41" s="8">
        <v>20</v>
      </c>
      <c r="D41" s="9">
        <v>3.24</v>
      </c>
      <c r="E41" s="7" t="s">
        <v>107</v>
      </c>
      <c r="F41" s="7" t="s">
        <v>143</v>
      </c>
      <c r="G41" s="10"/>
      <c r="H41" s="22"/>
      <c r="I41" s="11">
        <v>0.43888888888888888</v>
      </c>
      <c r="J41" s="12">
        <v>46175</v>
      </c>
      <c r="K41" s="13"/>
      <c r="L41" s="18"/>
      <c r="M41" s="10"/>
      <c r="N41" s="15" t="s">
        <v>144</v>
      </c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48" x14ac:dyDescent="0.3">
      <c r="A42" s="6" t="s">
        <v>393</v>
      </c>
      <c r="B42" s="7" t="s">
        <v>145</v>
      </c>
      <c r="C42" s="8">
        <v>3</v>
      </c>
      <c r="D42" s="9">
        <v>6.6000000000000003E-2</v>
      </c>
      <c r="E42" s="7" t="s">
        <v>107</v>
      </c>
      <c r="F42" s="7" t="s">
        <v>131</v>
      </c>
      <c r="G42" s="10"/>
      <c r="H42" s="10"/>
      <c r="I42" s="11">
        <v>0.60138888888888886</v>
      </c>
      <c r="J42" s="12">
        <v>46175</v>
      </c>
      <c r="K42" s="13"/>
      <c r="L42" s="18"/>
      <c r="M42" s="10"/>
      <c r="N42" s="15" t="s">
        <v>146</v>
      </c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79.5" x14ac:dyDescent="0.3">
      <c r="A43" s="6" t="s">
        <v>394</v>
      </c>
      <c r="B43" s="7" t="s">
        <v>147</v>
      </c>
      <c r="C43" s="8">
        <v>3</v>
      </c>
      <c r="D43" s="9">
        <v>0.99299999999999999</v>
      </c>
      <c r="E43" s="7" t="s">
        <v>121</v>
      </c>
      <c r="F43" s="7" t="s">
        <v>116</v>
      </c>
      <c r="G43" s="10"/>
      <c r="H43" s="10"/>
      <c r="I43" s="11">
        <v>0.28333333333333333</v>
      </c>
      <c r="J43" s="12">
        <v>46176</v>
      </c>
      <c r="K43" s="13"/>
      <c r="L43" s="18"/>
      <c r="M43" s="10"/>
      <c r="N43" s="15" t="s">
        <v>148</v>
      </c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63.75" x14ac:dyDescent="0.3">
      <c r="A44" s="6" t="s">
        <v>395</v>
      </c>
      <c r="B44" s="7" t="s">
        <v>149</v>
      </c>
      <c r="C44" s="8">
        <v>5</v>
      </c>
      <c r="D44" s="9">
        <v>2</v>
      </c>
      <c r="E44" s="7" t="s">
        <v>121</v>
      </c>
      <c r="F44" s="7" t="s">
        <v>108</v>
      </c>
      <c r="G44" s="10"/>
      <c r="H44" s="10"/>
      <c r="I44" s="11">
        <v>0.7006944444444444</v>
      </c>
      <c r="J44" s="12">
        <v>46175</v>
      </c>
      <c r="K44" s="13"/>
      <c r="L44" s="18"/>
      <c r="M44" s="10"/>
      <c r="N44" s="15" t="s">
        <v>150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48" x14ac:dyDescent="0.3">
      <c r="A45" s="6" t="s">
        <v>396</v>
      </c>
      <c r="B45" s="7" t="s">
        <v>151</v>
      </c>
      <c r="C45" s="8">
        <v>9</v>
      </c>
      <c r="D45" s="9">
        <v>9.81</v>
      </c>
      <c r="E45" s="7" t="s">
        <v>107</v>
      </c>
      <c r="F45" s="7" t="s">
        <v>152</v>
      </c>
      <c r="G45" s="10"/>
      <c r="H45" s="10"/>
      <c r="I45" s="11">
        <v>0.44930555555555557</v>
      </c>
      <c r="J45" s="12">
        <v>46175</v>
      </c>
      <c r="K45" s="13"/>
      <c r="L45" s="18"/>
      <c r="M45" s="10"/>
      <c r="N45" s="15" t="s">
        <v>153</v>
      </c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79.5" x14ac:dyDescent="0.3">
      <c r="A46" s="6" t="s">
        <v>397</v>
      </c>
      <c r="B46" s="7" t="s">
        <v>154</v>
      </c>
      <c r="C46" s="8">
        <v>8</v>
      </c>
      <c r="D46" s="9">
        <v>11.6</v>
      </c>
      <c r="E46" s="7" t="s">
        <v>107</v>
      </c>
      <c r="F46" s="7" t="s">
        <v>155</v>
      </c>
      <c r="G46" s="10"/>
      <c r="H46" s="22"/>
      <c r="I46" s="11">
        <v>0.31597222222222221</v>
      </c>
      <c r="J46" s="12">
        <v>46177</v>
      </c>
      <c r="K46" s="13"/>
      <c r="L46" s="18"/>
      <c r="M46" s="10"/>
      <c r="N46" s="15" t="s">
        <v>156</v>
      </c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63.75" x14ac:dyDescent="0.3">
      <c r="A47" s="6" t="s">
        <v>398</v>
      </c>
      <c r="B47" s="7" t="s">
        <v>157</v>
      </c>
      <c r="C47" s="8">
        <v>10</v>
      </c>
      <c r="D47" s="9">
        <v>1.65</v>
      </c>
      <c r="E47" s="7" t="s">
        <v>38</v>
      </c>
      <c r="F47" s="7" t="s">
        <v>128</v>
      </c>
      <c r="G47" s="10"/>
      <c r="H47" s="22"/>
      <c r="I47" s="11">
        <v>0.42222222222222222</v>
      </c>
      <c r="J47" s="12">
        <v>46175</v>
      </c>
      <c r="K47" s="26" t="s">
        <v>50</v>
      </c>
      <c r="L47" s="18"/>
      <c r="M47" s="10"/>
      <c r="N47" s="15" t="s">
        <v>158</v>
      </c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63.75" x14ac:dyDescent="0.3">
      <c r="A48" s="6" t="s">
        <v>399</v>
      </c>
      <c r="B48" s="7" t="s">
        <v>159</v>
      </c>
      <c r="C48" s="8">
        <v>20</v>
      </c>
      <c r="D48" s="9">
        <v>8.26</v>
      </c>
      <c r="E48" s="7" t="s">
        <v>121</v>
      </c>
      <c r="F48" s="7" t="s">
        <v>160</v>
      </c>
      <c r="G48" s="10"/>
      <c r="H48" s="29"/>
      <c r="I48" s="11">
        <v>0.60833333333333328</v>
      </c>
      <c r="J48" s="12">
        <v>46175</v>
      </c>
      <c r="K48" s="26" t="s">
        <v>50</v>
      </c>
      <c r="L48" s="22"/>
      <c r="M48" s="10"/>
      <c r="N48" s="15" t="s">
        <v>161</v>
      </c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63.75" x14ac:dyDescent="0.3">
      <c r="A49" s="6" t="s">
        <v>400</v>
      </c>
      <c r="B49" s="7" t="s">
        <v>162</v>
      </c>
      <c r="C49" s="8">
        <v>30</v>
      </c>
      <c r="D49" s="9">
        <v>0.75</v>
      </c>
      <c r="E49" s="7" t="s">
        <v>163</v>
      </c>
      <c r="F49" s="7" t="s">
        <v>164</v>
      </c>
      <c r="G49" s="10"/>
      <c r="H49" s="20"/>
      <c r="I49" s="35"/>
      <c r="J49" s="13"/>
      <c r="K49" s="13"/>
      <c r="L49" s="17" t="s">
        <v>165</v>
      </c>
      <c r="M49" s="10"/>
      <c r="N49" s="15" t="s">
        <v>166</v>
      </c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95.25" x14ac:dyDescent="0.3">
      <c r="A50" s="6" t="s">
        <v>401</v>
      </c>
      <c r="B50" s="7" t="s">
        <v>167</v>
      </c>
      <c r="C50" s="8">
        <v>100</v>
      </c>
      <c r="D50" s="9">
        <v>2.6</v>
      </c>
      <c r="E50" s="7" t="s">
        <v>163</v>
      </c>
      <c r="F50" s="7" t="s">
        <v>168</v>
      </c>
      <c r="G50" s="10"/>
      <c r="H50" s="20"/>
      <c r="I50" s="11">
        <v>0.46180555555555558</v>
      </c>
      <c r="J50" s="12">
        <v>46175</v>
      </c>
      <c r="K50" s="13"/>
      <c r="L50" s="17" t="s">
        <v>169</v>
      </c>
      <c r="M50" s="10"/>
      <c r="N50" s="15" t="s">
        <v>170</v>
      </c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48" x14ac:dyDescent="0.3">
      <c r="A51" s="6" t="s">
        <v>402</v>
      </c>
      <c r="B51" s="7" t="s">
        <v>171</v>
      </c>
      <c r="C51" s="8">
        <v>10</v>
      </c>
      <c r="D51" s="9">
        <v>16</v>
      </c>
      <c r="E51" s="7" t="s">
        <v>62</v>
      </c>
      <c r="F51" s="7" t="s">
        <v>172</v>
      </c>
      <c r="G51" s="10"/>
      <c r="H51" s="20"/>
      <c r="I51" s="11">
        <v>0.63402777777777775</v>
      </c>
      <c r="J51" s="12">
        <v>46177</v>
      </c>
      <c r="K51" s="13"/>
      <c r="L51" s="22"/>
      <c r="M51" s="10"/>
      <c r="N51" s="15" t="s">
        <v>173</v>
      </c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63.75" x14ac:dyDescent="0.3">
      <c r="A52" s="6" t="s">
        <v>403</v>
      </c>
      <c r="B52" s="7" t="s">
        <v>174</v>
      </c>
      <c r="C52" s="8">
        <v>50</v>
      </c>
      <c r="D52" s="9">
        <v>12.5</v>
      </c>
      <c r="E52" s="7" t="s">
        <v>16</v>
      </c>
      <c r="F52" s="7" t="s">
        <v>175</v>
      </c>
      <c r="G52" s="10"/>
      <c r="H52" s="20"/>
      <c r="I52" s="11">
        <v>0.41180555555555554</v>
      </c>
      <c r="J52" s="12">
        <v>46176</v>
      </c>
      <c r="K52" s="13"/>
      <c r="L52" s="22"/>
      <c r="M52" s="10"/>
      <c r="N52" s="15" t="s">
        <v>176</v>
      </c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32.25" x14ac:dyDescent="0.3">
      <c r="A53" s="6" t="s">
        <v>404</v>
      </c>
      <c r="B53" s="7" t="s">
        <v>177</v>
      </c>
      <c r="C53" s="8">
        <v>20</v>
      </c>
      <c r="D53" s="9">
        <v>4.2</v>
      </c>
      <c r="E53" s="7" t="s">
        <v>16</v>
      </c>
      <c r="F53" s="7" t="s">
        <v>178</v>
      </c>
      <c r="G53" s="10"/>
      <c r="H53" s="20"/>
      <c r="I53" s="11">
        <v>0.40277777777777779</v>
      </c>
      <c r="J53" s="12">
        <v>46176</v>
      </c>
      <c r="K53" s="13"/>
      <c r="L53" s="22"/>
      <c r="M53" s="10"/>
      <c r="N53" s="15" t="s">
        <v>179</v>
      </c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48" x14ac:dyDescent="0.3">
      <c r="A54" s="6" t="s">
        <v>405</v>
      </c>
      <c r="B54" s="7" t="s">
        <v>180</v>
      </c>
      <c r="C54" s="8">
        <v>50</v>
      </c>
      <c r="D54" s="9">
        <v>1.65</v>
      </c>
      <c r="E54" s="7" t="s">
        <v>121</v>
      </c>
      <c r="F54" s="7" t="s">
        <v>181</v>
      </c>
      <c r="G54" s="10"/>
      <c r="H54" s="20"/>
      <c r="I54" s="11">
        <v>0.48541666666666666</v>
      </c>
      <c r="J54" s="12">
        <v>46175</v>
      </c>
      <c r="K54" s="13"/>
      <c r="L54" s="22"/>
      <c r="M54" s="10"/>
      <c r="N54" s="15" t="s">
        <v>182</v>
      </c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48" x14ac:dyDescent="0.3">
      <c r="A55" s="6" t="s">
        <v>406</v>
      </c>
      <c r="B55" s="7" t="s">
        <v>183</v>
      </c>
      <c r="C55" s="8">
        <v>80</v>
      </c>
      <c r="D55" s="9">
        <v>2.72</v>
      </c>
      <c r="E55" s="7" t="s">
        <v>121</v>
      </c>
      <c r="F55" s="7" t="s">
        <v>184</v>
      </c>
      <c r="G55" s="10"/>
      <c r="H55" s="29"/>
      <c r="I55" s="11">
        <v>0.4236111111111111</v>
      </c>
      <c r="J55" s="12">
        <v>46175</v>
      </c>
      <c r="K55" s="26" t="s">
        <v>50</v>
      </c>
      <c r="L55" s="22"/>
      <c r="M55" s="10"/>
      <c r="N55" s="15" t="s">
        <v>185</v>
      </c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63.75" x14ac:dyDescent="0.3">
      <c r="A56" s="6" t="s">
        <v>407</v>
      </c>
      <c r="B56" s="7" t="s">
        <v>186</v>
      </c>
      <c r="C56" s="8">
        <v>20</v>
      </c>
      <c r="D56" s="9">
        <v>8.4</v>
      </c>
      <c r="E56" s="7" t="s">
        <v>187</v>
      </c>
      <c r="F56" s="7" t="s">
        <v>188</v>
      </c>
      <c r="G56" s="10"/>
      <c r="H56" s="20"/>
      <c r="I56" s="11">
        <v>0.68958333333333333</v>
      </c>
      <c r="J56" s="12">
        <v>46176</v>
      </c>
      <c r="K56" s="13"/>
      <c r="L56" s="22"/>
      <c r="M56" s="10"/>
      <c r="N56" s="15" t="s">
        <v>189</v>
      </c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48" x14ac:dyDescent="0.3">
      <c r="A57" s="6" t="s">
        <v>408</v>
      </c>
      <c r="B57" s="7" t="s">
        <v>190</v>
      </c>
      <c r="C57" s="8">
        <v>50</v>
      </c>
      <c r="D57" s="9">
        <v>1.65</v>
      </c>
      <c r="E57" s="7" t="s">
        <v>191</v>
      </c>
      <c r="F57" s="7" t="s">
        <v>192</v>
      </c>
      <c r="G57" s="10"/>
      <c r="H57" s="22"/>
      <c r="I57" s="11">
        <v>0.57777777777777772</v>
      </c>
      <c r="J57" s="12">
        <v>46176</v>
      </c>
      <c r="K57" s="26" t="s">
        <v>50</v>
      </c>
      <c r="L57" s="18"/>
      <c r="M57" s="10"/>
      <c r="N57" s="15" t="s">
        <v>193</v>
      </c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48" x14ac:dyDescent="0.3">
      <c r="A58" s="6" t="s">
        <v>409</v>
      </c>
      <c r="B58" s="7" t="s">
        <v>194</v>
      </c>
      <c r="C58" s="8">
        <v>20</v>
      </c>
      <c r="D58" s="9">
        <v>15.86</v>
      </c>
      <c r="E58" s="7" t="s">
        <v>195</v>
      </c>
      <c r="F58" s="7" t="s">
        <v>196</v>
      </c>
      <c r="G58" s="10"/>
      <c r="H58" s="22"/>
      <c r="I58" s="11">
        <v>0.70347222222222228</v>
      </c>
      <c r="J58" s="12">
        <v>46177</v>
      </c>
      <c r="K58" s="26" t="s">
        <v>50</v>
      </c>
      <c r="L58" s="18"/>
      <c r="M58" s="10"/>
      <c r="N58" s="15" t="s">
        <v>197</v>
      </c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26.75" x14ac:dyDescent="0.3">
      <c r="A59" s="6" t="s">
        <v>410</v>
      </c>
      <c r="B59" s="7" t="s">
        <v>198</v>
      </c>
      <c r="C59" s="8">
        <v>70</v>
      </c>
      <c r="D59" s="9">
        <v>58.1</v>
      </c>
      <c r="E59" s="7" t="s">
        <v>195</v>
      </c>
      <c r="F59" s="7" t="s">
        <v>199</v>
      </c>
      <c r="G59" s="10"/>
      <c r="H59" s="20"/>
      <c r="I59" s="11">
        <v>0.56944444444444442</v>
      </c>
      <c r="J59" s="12">
        <v>46177</v>
      </c>
      <c r="K59" s="36" t="s">
        <v>200</v>
      </c>
      <c r="L59" s="37" t="s">
        <v>201</v>
      </c>
      <c r="M59" s="10"/>
      <c r="N59" s="15" t="s">
        <v>202</v>
      </c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48" x14ac:dyDescent="0.3">
      <c r="A60" s="6" t="s">
        <v>411</v>
      </c>
      <c r="B60" s="7" t="s">
        <v>203</v>
      </c>
      <c r="C60" s="8">
        <v>50</v>
      </c>
      <c r="D60" s="9">
        <v>9.1</v>
      </c>
      <c r="E60" s="7" t="s">
        <v>195</v>
      </c>
      <c r="F60" s="7" t="s">
        <v>204</v>
      </c>
      <c r="G60" s="10"/>
      <c r="H60" s="29"/>
      <c r="I60" s="11">
        <v>0.66805555555555551</v>
      </c>
      <c r="J60" s="12">
        <v>46176</v>
      </c>
      <c r="K60" s="26" t="s">
        <v>50</v>
      </c>
      <c r="L60" s="22"/>
      <c r="M60" s="10"/>
      <c r="N60" s="15" t="s">
        <v>205</v>
      </c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48" x14ac:dyDescent="0.3">
      <c r="A61" s="6" t="s">
        <v>412</v>
      </c>
      <c r="B61" s="7" t="s">
        <v>206</v>
      </c>
      <c r="C61" s="8">
        <v>15</v>
      </c>
      <c r="D61" s="9">
        <v>9.4499999999999993</v>
      </c>
      <c r="E61" s="7" t="s">
        <v>195</v>
      </c>
      <c r="F61" s="7" t="s">
        <v>207</v>
      </c>
      <c r="G61" s="10"/>
      <c r="H61" s="22"/>
      <c r="I61" s="11">
        <v>0.59930555555555554</v>
      </c>
      <c r="J61" s="12">
        <v>46176</v>
      </c>
      <c r="K61" s="26" t="s">
        <v>50</v>
      </c>
      <c r="L61" s="18"/>
      <c r="M61" s="10"/>
      <c r="N61" s="15" t="s">
        <v>208</v>
      </c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48" x14ac:dyDescent="0.3">
      <c r="A62" s="6" t="s">
        <v>413</v>
      </c>
      <c r="B62" s="7" t="s">
        <v>209</v>
      </c>
      <c r="C62" s="8">
        <v>10</v>
      </c>
      <c r="D62" s="9">
        <v>6.18</v>
      </c>
      <c r="E62" s="7" t="s">
        <v>195</v>
      </c>
      <c r="F62" s="7" t="s">
        <v>39</v>
      </c>
      <c r="G62" s="10"/>
      <c r="H62" s="20"/>
      <c r="I62" s="11">
        <v>0.68333333333333335</v>
      </c>
      <c r="J62" s="12">
        <v>46177</v>
      </c>
      <c r="K62" s="13"/>
      <c r="L62" s="22"/>
      <c r="M62" s="10"/>
      <c r="N62" s="15" t="s">
        <v>210</v>
      </c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48" x14ac:dyDescent="0.3">
      <c r="A63" s="6" t="s">
        <v>414</v>
      </c>
      <c r="B63" s="7" t="s">
        <v>211</v>
      </c>
      <c r="C63" s="8">
        <v>15</v>
      </c>
      <c r="D63" s="9">
        <v>32.700000000000003</v>
      </c>
      <c r="E63" s="7" t="s">
        <v>212</v>
      </c>
      <c r="F63" s="7" t="s">
        <v>213</v>
      </c>
      <c r="G63" s="10"/>
      <c r="H63" s="20"/>
      <c r="I63" s="11">
        <v>0.63749999999999996</v>
      </c>
      <c r="J63" s="12">
        <v>46177</v>
      </c>
      <c r="K63" s="21" t="s">
        <v>214</v>
      </c>
      <c r="L63" s="22"/>
      <c r="M63" s="10"/>
      <c r="N63" s="15" t="s">
        <v>215</v>
      </c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63.75" x14ac:dyDescent="0.3">
      <c r="A64" s="6" t="s">
        <v>415</v>
      </c>
      <c r="B64" s="7" t="s">
        <v>216</v>
      </c>
      <c r="C64" s="8">
        <v>10</v>
      </c>
      <c r="D64" s="9">
        <v>3.9</v>
      </c>
      <c r="E64" s="7" t="s">
        <v>217</v>
      </c>
      <c r="F64" s="7" t="s">
        <v>218</v>
      </c>
      <c r="G64" s="10"/>
      <c r="H64" s="29"/>
      <c r="I64" s="11">
        <v>0.30277777777777776</v>
      </c>
      <c r="J64" s="12">
        <v>46176</v>
      </c>
      <c r="K64" s="26" t="s">
        <v>50</v>
      </c>
      <c r="L64" s="22"/>
      <c r="M64" s="10"/>
      <c r="N64" s="15" t="s">
        <v>219</v>
      </c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48" x14ac:dyDescent="0.3">
      <c r="A65" s="6" t="s">
        <v>416</v>
      </c>
      <c r="B65" s="7" t="s">
        <v>220</v>
      </c>
      <c r="C65" s="8">
        <v>20</v>
      </c>
      <c r="D65" s="9">
        <v>11.84</v>
      </c>
      <c r="E65" s="7" t="s">
        <v>195</v>
      </c>
      <c r="F65" s="7" t="s">
        <v>196</v>
      </c>
      <c r="G65" s="10"/>
      <c r="H65" s="20"/>
      <c r="I65" s="11">
        <v>0.60624999999999996</v>
      </c>
      <c r="J65" s="12">
        <v>46177</v>
      </c>
      <c r="K65" s="13"/>
      <c r="L65" s="22"/>
      <c r="M65" s="10"/>
      <c r="N65" s="15" t="s">
        <v>221</v>
      </c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79.5" x14ac:dyDescent="0.3">
      <c r="A66" s="6" t="s">
        <v>417</v>
      </c>
      <c r="B66" s="7" t="s">
        <v>222</v>
      </c>
      <c r="C66" s="8">
        <v>25</v>
      </c>
      <c r="D66" s="9">
        <v>5.8250000000000002</v>
      </c>
      <c r="E66" s="7" t="s">
        <v>66</v>
      </c>
      <c r="F66" s="7" t="s">
        <v>223</v>
      </c>
      <c r="G66" s="10"/>
      <c r="H66" s="20"/>
      <c r="I66" s="11">
        <v>0.63888888888888884</v>
      </c>
      <c r="J66" s="12">
        <v>46177</v>
      </c>
      <c r="K66" s="13"/>
      <c r="L66" s="22"/>
      <c r="M66" s="10"/>
      <c r="N66" s="15" t="s">
        <v>224</v>
      </c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48" x14ac:dyDescent="0.3">
      <c r="A67" s="6" t="s">
        <v>418</v>
      </c>
      <c r="B67" s="7" t="s">
        <v>225</v>
      </c>
      <c r="C67" s="8">
        <v>30</v>
      </c>
      <c r="D67" s="9">
        <v>3.45</v>
      </c>
      <c r="E67" s="7" t="s">
        <v>226</v>
      </c>
      <c r="F67" s="7" t="s">
        <v>17</v>
      </c>
      <c r="G67" s="10"/>
      <c r="H67" s="20"/>
      <c r="I67" s="11">
        <v>0.32013888888888886</v>
      </c>
      <c r="J67" s="12">
        <v>46177</v>
      </c>
      <c r="K67" s="13"/>
      <c r="L67" s="22"/>
      <c r="M67" s="10"/>
      <c r="N67" s="15" t="s">
        <v>227</v>
      </c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32.25" x14ac:dyDescent="0.3">
      <c r="A68" s="6" t="s">
        <v>419</v>
      </c>
      <c r="B68" s="7" t="s">
        <v>228</v>
      </c>
      <c r="C68" s="8">
        <v>20</v>
      </c>
      <c r="D68" s="9">
        <v>2.48</v>
      </c>
      <c r="E68" s="7" t="s">
        <v>226</v>
      </c>
      <c r="F68" s="7" t="s">
        <v>71</v>
      </c>
      <c r="G68" s="10"/>
      <c r="H68" s="10"/>
      <c r="I68" s="11">
        <v>0.6791666666666667</v>
      </c>
      <c r="J68" s="12">
        <v>46177</v>
      </c>
      <c r="K68" s="13"/>
      <c r="L68" s="18"/>
      <c r="M68" s="10"/>
      <c r="N68" s="15" t="s">
        <v>229</v>
      </c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95.25" x14ac:dyDescent="0.3">
      <c r="A69" s="6" t="s">
        <v>420</v>
      </c>
      <c r="B69" s="7" t="s">
        <v>230</v>
      </c>
      <c r="C69" s="8">
        <v>40</v>
      </c>
      <c r="D69" s="9">
        <v>6.6</v>
      </c>
      <c r="E69" s="7" t="s">
        <v>231</v>
      </c>
      <c r="F69" s="7" t="s">
        <v>232</v>
      </c>
      <c r="G69" s="10"/>
      <c r="H69" s="20"/>
      <c r="I69" s="11">
        <v>0.35208333333333336</v>
      </c>
      <c r="J69" s="12">
        <v>46177</v>
      </c>
      <c r="K69" s="13"/>
      <c r="L69" s="22"/>
      <c r="M69" s="10"/>
      <c r="N69" s="15" t="s">
        <v>233</v>
      </c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79.5" x14ac:dyDescent="0.3">
      <c r="A70" s="6" t="s">
        <v>421</v>
      </c>
      <c r="B70" s="7" t="s">
        <v>234</v>
      </c>
      <c r="C70" s="8">
        <v>30</v>
      </c>
      <c r="D70" s="9">
        <v>6.63</v>
      </c>
      <c r="E70" s="7" t="s">
        <v>235</v>
      </c>
      <c r="F70" s="7" t="s">
        <v>236</v>
      </c>
      <c r="G70" s="10"/>
      <c r="H70" s="29"/>
      <c r="I70" s="11">
        <v>0.51666666666666672</v>
      </c>
      <c r="J70" s="12">
        <v>46177</v>
      </c>
      <c r="K70" s="13"/>
      <c r="L70" s="22"/>
      <c r="M70" s="10"/>
      <c r="N70" s="15" t="s">
        <v>237</v>
      </c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48" x14ac:dyDescent="0.3">
      <c r="A71" s="6" t="s">
        <v>422</v>
      </c>
      <c r="B71" s="7" t="s">
        <v>238</v>
      </c>
      <c r="C71" s="8">
        <v>30</v>
      </c>
      <c r="D71" s="9">
        <v>39.119999999999997</v>
      </c>
      <c r="E71" s="7" t="s">
        <v>195</v>
      </c>
      <c r="F71" s="7" t="s">
        <v>239</v>
      </c>
      <c r="G71" s="10"/>
      <c r="H71" s="29"/>
      <c r="I71" s="11">
        <v>0.63194444444444442</v>
      </c>
      <c r="J71" s="12">
        <v>46177</v>
      </c>
      <c r="K71" s="26" t="s">
        <v>50</v>
      </c>
      <c r="L71" s="22"/>
      <c r="M71" s="10"/>
      <c r="N71" s="15" t="s">
        <v>240</v>
      </c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74" x14ac:dyDescent="0.3">
      <c r="A72" s="6" t="s">
        <v>423</v>
      </c>
      <c r="B72" s="7" t="s">
        <v>241</v>
      </c>
      <c r="C72" s="8">
        <v>60</v>
      </c>
      <c r="D72" s="9">
        <v>15.18</v>
      </c>
      <c r="E72" s="7" t="s">
        <v>242</v>
      </c>
      <c r="F72" s="7" t="s">
        <v>243</v>
      </c>
      <c r="G72" s="10"/>
      <c r="H72" s="20"/>
      <c r="I72" s="11">
        <v>0.54374999999999996</v>
      </c>
      <c r="J72" s="12">
        <v>46175</v>
      </c>
      <c r="K72" s="21"/>
      <c r="L72" s="17"/>
      <c r="M72" s="10"/>
      <c r="N72" s="15" t="s">
        <v>244</v>
      </c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8.25" x14ac:dyDescent="0.3">
      <c r="A73" s="6" t="s">
        <v>424</v>
      </c>
      <c r="B73" s="7" t="s">
        <v>245</v>
      </c>
      <c r="C73" s="8">
        <v>50</v>
      </c>
      <c r="D73" s="9">
        <v>54.4</v>
      </c>
      <c r="E73" s="7" t="s">
        <v>226</v>
      </c>
      <c r="F73" s="7" t="s">
        <v>246</v>
      </c>
      <c r="G73" s="10"/>
      <c r="H73" s="20"/>
      <c r="I73" s="11">
        <v>0.57222222222222219</v>
      </c>
      <c r="J73" s="12">
        <v>46176</v>
      </c>
      <c r="K73" s="13"/>
      <c r="L73" s="17"/>
      <c r="M73" s="10"/>
      <c r="N73" s="15" t="s">
        <v>247</v>
      </c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32.25" x14ac:dyDescent="0.3">
      <c r="A74" s="6" t="s">
        <v>425</v>
      </c>
      <c r="B74" s="7" t="s">
        <v>248</v>
      </c>
      <c r="C74" s="8">
        <v>200</v>
      </c>
      <c r="D74" s="9">
        <v>20</v>
      </c>
      <c r="E74" s="7" t="s">
        <v>249</v>
      </c>
      <c r="F74" s="7" t="s">
        <v>104</v>
      </c>
      <c r="G74" s="10"/>
      <c r="H74" s="20"/>
      <c r="I74" s="11">
        <v>0.60763888888888884</v>
      </c>
      <c r="J74" s="12">
        <v>46177</v>
      </c>
      <c r="K74" s="13"/>
      <c r="L74" s="22"/>
      <c r="M74" s="10"/>
      <c r="N74" s="15" t="s">
        <v>250</v>
      </c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48" x14ac:dyDescent="0.3">
      <c r="A75" s="6" t="s">
        <v>426</v>
      </c>
      <c r="B75" s="7" t="s">
        <v>251</v>
      </c>
      <c r="C75" s="8">
        <v>20</v>
      </c>
      <c r="D75" s="9">
        <v>1.72</v>
      </c>
      <c r="E75" s="7" t="s">
        <v>191</v>
      </c>
      <c r="F75" s="7" t="s">
        <v>252</v>
      </c>
      <c r="G75" s="10"/>
      <c r="H75" s="10"/>
      <c r="I75" s="11">
        <v>0.56458333333333333</v>
      </c>
      <c r="J75" s="12">
        <v>46177</v>
      </c>
      <c r="K75" s="13"/>
      <c r="L75" s="18"/>
      <c r="M75" s="10"/>
      <c r="N75" s="15" t="s">
        <v>253</v>
      </c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63.75" x14ac:dyDescent="0.3">
      <c r="A76" s="6" t="s">
        <v>427</v>
      </c>
      <c r="B76" s="7" t="s">
        <v>254</v>
      </c>
      <c r="C76" s="8">
        <v>30</v>
      </c>
      <c r="D76" s="9">
        <v>4.8</v>
      </c>
      <c r="E76" s="7" t="s">
        <v>255</v>
      </c>
      <c r="F76" s="7" t="s">
        <v>256</v>
      </c>
      <c r="G76" s="10"/>
      <c r="H76" s="10"/>
      <c r="I76" s="11">
        <v>0.38055555555555554</v>
      </c>
      <c r="J76" s="12">
        <v>46176</v>
      </c>
      <c r="K76" s="13"/>
      <c r="L76" s="18"/>
      <c r="M76" s="10"/>
      <c r="N76" s="15" t="s">
        <v>257</v>
      </c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63.75" x14ac:dyDescent="0.3">
      <c r="A77" s="6" t="s">
        <v>428</v>
      </c>
      <c r="B77" s="7" t="s">
        <v>258</v>
      </c>
      <c r="C77" s="8">
        <v>30</v>
      </c>
      <c r="D77" s="9">
        <v>1.23</v>
      </c>
      <c r="E77" s="7" t="s">
        <v>231</v>
      </c>
      <c r="F77" s="7" t="s">
        <v>259</v>
      </c>
      <c r="G77" s="10"/>
      <c r="H77" s="10"/>
      <c r="I77" s="11">
        <v>0.71250000000000002</v>
      </c>
      <c r="J77" s="12">
        <v>46176</v>
      </c>
      <c r="K77" s="13"/>
      <c r="L77" s="18"/>
      <c r="M77" s="10"/>
      <c r="N77" s="15" t="s">
        <v>260</v>
      </c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205.5" x14ac:dyDescent="0.3">
      <c r="A78" s="6" t="s">
        <v>429</v>
      </c>
      <c r="B78" s="7" t="s">
        <v>261</v>
      </c>
      <c r="C78" s="8">
        <v>50</v>
      </c>
      <c r="D78" s="9">
        <v>256.5</v>
      </c>
      <c r="E78" s="7" t="s">
        <v>262</v>
      </c>
      <c r="F78" s="7" t="s">
        <v>263</v>
      </c>
      <c r="G78" s="10"/>
      <c r="H78" s="10"/>
      <c r="I78" s="11">
        <v>0.5</v>
      </c>
      <c r="J78" s="12">
        <v>46177</v>
      </c>
      <c r="K78" s="13"/>
      <c r="L78" s="18"/>
      <c r="M78" s="10"/>
      <c r="N78" s="15" t="s">
        <v>264</v>
      </c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252.75" x14ac:dyDescent="0.3">
      <c r="A79" s="6" t="s">
        <v>430</v>
      </c>
      <c r="B79" s="7" t="s">
        <v>265</v>
      </c>
      <c r="C79" s="8">
        <v>60</v>
      </c>
      <c r="D79" s="9">
        <v>195</v>
      </c>
      <c r="E79" s="7" t="s">
        <v>262</v>
      </c>
      <c r="F79" s="7" t="s">
        <v>266</v>
      </c>
      <c r="G79" s="10"/>
      <c r="H79" s="22"/>
      <c r="I79" s="35"/>
      <c r="J79" s="13"/>
      <c r="K79" s="26" t="s">
        <v>50</v>
      </c>
      <c r="L79" s="18"/>
      <c r="M79" s="10"/>
      <c r="N79" s="15" t="s">
        <v>267</v>
      </c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48" x14ac:dyDescent="0.3">
      <c r="A80" s="6" t="s">
        <v>431</v>
      </c>
      <c r="B80" s="7" t="s">
        <v>268</v>
      </c>
      <c r="C80" s="8">
        <v>10</v>
      </c>
      <c r="D80" s="9">
        <v>8.5</v>
      </c>
      <c r="E80" s="7" t="s">
        <v>269</v>
      </c>
      <c r="F80" s="7" t="s">
        <v>270</v>
      </c>
      <c r="G80" s="10"/>
      <c r="H80" s="22"/>
      <c r="I80" s="11">
        <v>0.71666666666666667</v>
      </c>
      <c r="J80" s="12">
        <v>46175</v>
      </c>
      <c r="K80" s="26" t="s">
        <v>50</v>
      </c>
      <c r="L80" s="18"/>
      <c r="M80" s="10"/>
      <c r="N80" s="15" t="s">
        <v>271</v>
      </c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63.75" x14ac:dyDescent="0.3">
      <c r="A81" s="6" t="s">
        <v>432</v>
      </c>
      <c r="B81" s="7" t="s">
        <v>272</v>
      </c>
      <c r="C81" s="8">
        <v>20</v>
      </c>
      <c r="D81" s="9">
        <v>3.72</v>
      </c>
      <c r="E81" s="7" t="s">
        <v>273</v>
      </c>
      <c r="F81" s="7" t="s">
        <v>274</v>
      </c>
      <c r="G81" s="10"/>
      <c r="H81" s="10"/>
      <c r="I81" s="11">
        <v>0.35069444444444442</v>
      </c>
      <c r="J81" s="12">
        <v>46176</v>
      </c>
      <c r="K81" s="13"/>
      <c r="L81" s="18"/>
      <c r="M81" s="10"/>
      <c r="N81" s="15" t="s">
        <v>275</v>
      </c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205.5" x14ac:dyDescent="0.3">
      <c r="A82" s="6" t="s">
        <v>433</v>
      </c>
      <c r="B82" s="7" t="s">
        <v>276</v>
      </c>
      <c r="C82" s="8">
        <v>50</v>
      </c>
      <c r="D82" s="9">
        <v>187.5</v>
      </c>
      <c r="E82" s="7" t="s">
        <v>262</v>
      </c>
      <c r="F82" s="7" t="s">
        <v>277</v>
      </c>
      <c r="G82" s="10"/>
      <c r="H82" s="22"/>
      <c r="I82" s="11">
        <v>0.54513888888888884</v>
      </c>
      <c r="J82" s="12">
        <v>46176</v>
      </c>
      <c r="K82" s="26" t="s">
        <v>50</v>
      </c>
      <c r="L82" s="18"/>
      <c r="M82" s="10"/>
      <c r="N82" s="15" t="s">
        <v>278</v>
      </c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48" x14ac:dyDescent="0.3">
      <c r="A83" s="6" t="s">
        <v>434</v>
      </c>
      <c r="B83" s="7" t="s">
        <v>279</v>
      </c>
      <c r="C83" s="8">
        <v>20</v>
      </c>
      <c r="D83" s="9">
        <v>20.5</v>
      </c>
      <c r="E83" s="7" t="s">
        <v>280</v>
      </c>
      <c r="F83" s="7" t="s">
        <v>281</v>
      </c>
      <c r="G83" s="10"/>
      <c r="H83" s="10"/>
      <c r="I83" s="11">
        <v>0.50208333333333333</v>
      </c>
      <c r="J83" s="12">
        <v>46176</v>
      </c>
      <c r="K83" s="26" t="s">
        <v>50</v>
      </c>
      <c r="L83" s="18"/>
      <c r="M83" s="10"/>
      <c r="N83" s="15" t="s">
        <v>282</v>
      </c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95.25" x14ac:dyDescent="0.3">
      <c r="A84" s="6" t="s">
        <v>435</v>
      </c>
      <c r="B84" s="7" t="s">
        <v>283</v>
      </c>
      <c r="C84" s="8">
        <v>30</v>
      </c>
      <c r="D84" s="9">
        <v>27.06</v>
      </c>
      <c r="E84" s="7" t="s">
        <v>280</v>
      </c>
      <c r="F84" s="7" t="s">
        <v>284</v>
      </c>
      <c r="G84" s="10"/>
      <c r="H84" s="22"/>
      <c r="I84" s="11">
        <v>0.7416666666666667</v>
      </c>
      <c r="J84" s="12">
        <v>46175</v>
      </c>
      <c r="K84" s="26" t="s">
        <v>50</v>
      </c>
      <c r="L84" s="18"/>
      <c r="M84" s="10"/>
      <c r="N84" s="15" t="s">
        <v>285</v>
      </c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74" x14ac:dyDescent="0.3">
      <c r="A85" s="6" t="s">
        <v>436</v>
      </c>
      <c r="B85" s="7" t="s">
        <v>286</v>
      </c>
      <c r="C85" s="8">
        <v>70</v>
      </c>
      <c r="D85" s="9">
        <v>100.1</v>
      </c>
      <c r="E85" s="7" t="s">
        <v>269</v>
      </c>
      <c r="F85" s="7" t="s">
        <v>287</v>
      </c>
      <c r="G85" s="10"/>
      <c r="H85" s="22"/>
      <c r="I85" s="11">
        <v>0.35208333333333336</v>
      </c>
      <c r="J85" s="12">
        <v>46176</v>
      </c>
      <c r="K85" s="26" t="s">
        <v>50</v>
      </c>
      <c r="L85" s="18"/>
      <c r="M85" s="10"/>
      <c r="N85" s="15" t="s">
        <v>288</v>
      </c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205.5" x14ac:dyDescent="0.3">
      <c r="A86" s="6" t="s">
        <v>437</v>
      </c>
      <c r="B86" s="7" t="s">
        <v>289</v>
      </c>
      <c r="C86" s="8">
        <v>50</v>
      </c>
      <c r="D86" s="9">
        <v>252</v>
      </c>
      <c r="E86" s="7" t="s">
        <v>262</v>
      </c>
      <c r="F86" s="7" t="s">
        <v>290</v>
      </c>
      <c r="G86" s="10"/>
      <c r="H86" s="10"/>
      <c r="I86" s="11">
        <v>0.3972222222222222</v>
      </c>
      <c r="J86" s="12">
        <v>46177</v>
      </c>
      <c r="K86" s="13"/>
      <c r="L86" s="18"/>
      <c r="M86" s="10"/>
      <c r="N86" s="15" t="s">
        <v>291</v>
      </c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26.75" x14ac:dyDescent="0.3">
      <c r="A87" s="6" t="s">
        <v>438</v>
      </c>
      <c r="B87" s="7" t="s">
        <v>292</v>
      </c>
      <c r="C87" s="8">
        <v>30</v>
      </c>
      <c r="D87" s="9">
        <v>151.68</v>
      </c>
      <c r="E87" s="7" t="s">
        <v>262</v>
      </c>
      <c r="F87" s="7" t="s">
        <v>293</v>
      </c>
      <c r="G87" s="10"/>
      <c r="H87" s="22"/>
      <c r="I87" s="11">
        <v>0.41805555555555557</v>
      </c>
      <c r="J87" s="12">
        <v>46175</v>
      </c>
      <c r="K87" s="26" t="s">
        <v>50</v>
      </c>
      <c r="L87" s="18"/>
      <c r="M87" s="10"/>
      <c r="N87" s="15" t="s">
        <v>294</v>
      </c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48" x14ac:dyDescent="0.3">
      <c r="A88" s="6" t="s">
        <v>439</v>
      </c>
      <c r="B88" s="7" t="s">
        <v>295</v>
      </c>
      <c r="C88" s="8">
        <v>10</v>
      </c>
      <c r="D88" s="9">
        <v>8.6999999999999993</v>
      </c>
      <c r="E88" s="7" t="s">
        <v>280</v>
      </c>
      <c r="F88" s="7" t="s">
        <v>296</v>
      </c>
      <c r="G88" s="10"/>
      <c r="H88" s="22"/>
      <c r="I88" s="11">
        <v>0.72430555555555554</v>
      </c>
      <c r="J88" s="12">
        <v>46175</v>
      </c>
      <c r="K88" s="26" t="s">
        <v>50</v>
      </c>
      <c r="L88" s="18"/>
      <c r="M88" s="10"/>
      <c r="N88" s="15" t="s">
        <v>297</v>
      </c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63.75" x14ac:dyDescent="0.3">
      <c r="A89" s="6" t="s">
        <v>440</v>
      </c>
      <c r="B89" s="7" t="s">
        <v>298</v>
      </c>
      <c r="C89" s="8">
        <v>20</v>
      </c>
      <c r="D89" s="9">
        <v>26</v>
      </c>
      <c r="E89" s="7" t="s">
        <v>107</v>
      </c>
      <c r="F89" s="7" t="s">
        <v>299</v>
      </c>
      <c r="G89" s="10"/>
      <c r="H89" s="10"/>
      <c r="I89" s="11">
        <v>0.67638888888888893</v>
      </c>
      <c r="J89" s="12">
        <v>46177</v>
      </c>
      <c r="K89" s="38"/>
      <c r="L89" s="18"/>
      <c r="M89" s="10"/>
      <c r="N89" s="15" t="s">
        <v>300</v>
      </c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48" x14ac:dyDescent="0.3">
      <c r="A90" s="6" t="s">
        <v>441</v>
      </c>
      <c r="B90" s="7" t="s">
        <v>301</v>
      </c>
      <c r="C90" s="8">
        <v>5</v>
      </c>
      <c r="D90" s="9">
        <v>6.625</v>
      </c>
      <c r="E90" s="7" t="s">
        <v>269</v>
      </c>
      <c r="F90" s="7" t="s">
        <v>302</v>
      </c>
      <c r="G90" s="10"/>
      <c r="H90" s="22"/>
      <c r="I90" s="11">
        <v>0.72986111111111107</v>
      </c>
      <c r="J90" s="12">
        <v>46175</v>
      </c>
      <c r="K90" s="26" t="s">
        <v>50</v>
      </c>
      <c r="L90" s="18"/>
      <c r="M90" s="10"/>
      <c r="N90" s="15" t="s">
        <v>303</v>
      </c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48" x14ac:dyDescent="0.3">
      <c r="A91" s="6" t="s">
        <v>442</v>
      </c>
      <c r="B91" s="7" t="s">
        <v>304</v>
      </c>
      <c r="C91" s="8">
        <v>5</v>
      </c>
      <c r="D91" s="9">
        <v>1.55</v>
      </c>
      <c r="E91" s="7" t="s">
        <v>231</v>
      </c>
      <c r="F91" s="7" t="s">
        <v>59</v>
      </c>
      <c r="G91" s="10"/>
      <c r="H91" s="22"/>
      <c r="I91" s="11">
        <v>0.34236111111111112</v>
      </c>
      <c r="J91" s="12">
        <v>46176</v>
      </c>
      <c r="K91" s="26" t="s">
        <v>50</v>
      </c>
      <c r="L91" s="18"/>
      <c r="M91" s="10"/>
      <c r="N91" s="15" t="s">
        <v>305</v>
      </c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48" x14ac:dyDescent="0.3">
      <c r="A92" s="6" t="s">
        <v>443</v>
      </c>
      <c r="B92" s="7" t="s">
        <v>306</v>
      </c>
      <c r="C92" s="8">
        <v>20</v>
      </c>
      <c r="D92" s="9">
        <v>7.7</v>
      </c>
      <c r="E92" s="7" t="s">
        <v>195</v>
      </c>
      <c r="F92" s="7" t="s">
        <v>116</v>
      </c>
      <c r="G92" s="10"/>
      <c r="H92" s="22"/>
      <c r="I92" s="11">
        <v>0.28680555555555554</v>
      </c>
      <c r="J92" s="12">
        <v>46176</v>
      </c>
      <c r="K92" s="26" t="s">
        <v>50</v>
      </c>
      <c r="L92" s="18"/>
      <c r="M92" s="10"/>
      <c r="N92" s="15" t="s">
        <v>307</v>
      </c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48" x14ac:dyDescent="0.3">
      <c r="A93" s="6" t="s">
        <v>444</v>
      </c>
      <c r="B93" s="7" t="s">
        <v>308</v>
      </c>
      <c r="C93" s="8">
        <v>10</v>
      </c>
      <c r="D93" s="9">
        <v>4.5999999999999996</v>
      </c>
      <c r="E93" s="7" t="s">
        <v>195</v>
      </c>
      <c r="F93" s="7" t="s">
        <v>309</v>
      </c>
      <c r="G93" s="10"/>
      <c r="H93" s="22"/>
      <c r="I93" s="11">
        <v>0.74375000000000002</v>
      </c>
      <c r="J93" s="12">
        <v>46175</v>
      </c>
      <c r="K93" s="26" t="s">
        <v>50</v>
      </c>
      <c r="L93" s="18"/>
      <c r="M93" s="10"/>
      <c r="N93" s="15" t="s">
        <v>310</v>
      </c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48" x14ac:dyDescent="0.3">
      <c r="A94" s="6" t="s">
        <v>445</v>
      </c>
      <c r="B94" s="7" t="s">
        <v>311</v>
      </c>
      <c r="C94" s="8">
        <v>10</v>
      </c>
      <c r="D94" s="9">
        <v>7.12</v>
      </c>
      <c r="E94" s="7" t="s">
        <v>195</v>
      </c>
      <c r="F94" s="7" t="s">
        <v>312</v>
      </c>
      <c r="G94" s="10"/>
      <c r="H94" s="22"/>
      <c r="I94" s="11">
        <v>0.30138888888888887</v>
      </c>
      <c r="J94" s="12">
        <v>46176</v>
      </c>
      <c r="K94" s="26" t="s">
        <v>50</v>
      </c>
      <c r="L94" s="18"/>
      <c r="M94" s="10"/>
      <c r="N94" s="15" t="s">
        <v>313</v>
      </c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48" x14ac:dyDescent="0.3">
      <c r="A95" s="6" t="s">
        <v>446</v>
      </c>
      <c r="B95" s="7" t="s">
        <v>314</v>
      </c>
      <c r="C95" s="8">
        <v>5</v>
      </c>
      <c r="D95" s="9">
        <v>4.96</v>
      </c>
      <c r="E95" s="7" t="s">
        <v>195</v>
      </c>
      <c r="F95" s="7" t="s">
        <v>315</v>
      </c>
      <c r="G95" s="10"/>
      <c r="H95" s="22"/>
      <c r="I95" s="11">
        <v>0.44097222222222221</v>
      </c>
      <c r="J95" s="12">
        <v>46176</v>
      </c>
      <c r="K95" s="26" t="s">
        <v>50</v>
      </c>
      <c r="L95" s="18"/>
      <c r="M95" s="10"/>
      <c r="N95" s="15" t="s">
        <v>316</v>
      </c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48" x14ac:dyDescent="0.3">
      <c r="A96" s="6" t="s">
        <v>447</v>
      </c>
      <c r="B96" s="7" t="s">
        <v>317</v>
      </c>
      <c r="C96" s="8">
        <v>20</v>
      </c>
      <c r="D96" s="9">
        <v>5.16</v>
      </c>
      <c r="E96" s="7" t="s">
        <v>318</v>
      </c>
      <c r="F96" s="7" t="s">
        <v>319</v>
      </c>
      <c r="G96" s="10"/>
      <c r="H96" s="22"/>
      <c r="I96" s="11">
        <v>0.39583333333333331</v>
      </c>
      <c r="J96" s="12">
        <v>46176</v>
      </c>
      <c r="K96" s="26" t="s">
        <v>50</v>
      </c>
      <c r="L96" s="18"/>
      <c r="M96" s="10"/>
      <c r="N96" s="15" t="s">
        <v>320</v>
      </c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63.75" x14ac:dyDescent="0.3">
      <c r="A97" s="6" t="s">
        <v>448</v>
      </c>
      <c r="B97" s="7" t="s">
        <v>321</v>
      </c>
      <c r="C97" s="8">
        <v>20</v>
      </c>
      <c r="D97" s="9">
        <v>9.5399999999999991</v>
      </c>
      <c r="E97" s="7" t="s">
        <v>226</v>
      </c>
      <c r="F97" s="7" t="s">
        <v>322</v>
      </c>
      <c r="G97" s="10"/>
      <c r="H97" s="22"/>
      <c r="I97" s="11">
        <v>0.33958333333333335</v>
      </c>
      <c r="J97" s="12">
        <v>46176</v>
      </c>
      <c r="K97" s="26" t="s">
        <v>50</v>
      </c>
      <c r="L97" s="18"/>
      <c r="M97" s="10"/>
      <c r="N97" s="15" t="s">
        <v>323</v>
      </c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63.75" x14ac:dyDescent="0.3">
      <c r="A98" s="6" t="s">
        <v>449</v>
      </c>
      <c r="B98" s="7" t="s">
        <v>324</v>
      </c>
      <c r="C98" s="8">
        <v>20</v>
      </c>
      <c r="D98" s="9">
        <v>10</v>
      </c>
      <c r="E98" s="7" t="s">
        <v>226</v>
      </c>
      <c r="F98" s="7" t="s">
        <v>325</v>
      </c>
      <c r="G98" s="10"/>
      <c r="H98" s="22"/>
      <c r="I98" s="11">
        <v>0.7368055555555556</v>
      </c>
      <c r="J98" s="12">
        <v>46175</v>
      </c>
      <c r="K98" s="26" t="s">
        <v>50</v>
      </c>
      <c r="L98" s="18"/>
      <c r="M98" s="10"/>
      <c r="N98" s="15" t="s">
        <v>326</v>
      </c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63.75" x14ac:dyDescent="0.3">
      <c r="A99" s="6" t="s">
        <v>450</v>
      </c>
      <c r="B99" s="7" t="s">
        <v>327</v>
      </c>
      <c r="C99" s="8">
        <v>10</v>
      </c>
      <c r="D99" s="9">
        <v>5.2</v>
      </c>
      <c r="E99" s="7" t="s">
        <v>226</v>
      </c>
      <c r="F99" s="7" t="s">
        <v>328</v>
      </c>
      <c r="G99" s="10"/>
      <c r="H99" s="10"/>
      <c r="I99" s="11">
        <v>0.39791666666666664</v>
      </c>
      <c r="J99" s="12">
        <v>46177</v>
      </c>
      <c r="K99" s="38"/>
      <c r="L99" s="18"/>
      <c r="M99" s="10"/>
      <c r="N99" s="15" t="s">
        <v>329</v>
      </c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48" x14ac:dyDescent="0.3">
      <c r="A100" s="6" t="s">
        <v>451</v>
      </c>
      <c r="B100" s="7" t="s">
        <v>330</v>
      </c>
      <c r="C100" s="8">
        <v>20</v>
      </c>
      <c r="D100" s="9">
        <v>23.32</v>
      </c>
      <c r="E100" s="7" t="s">
        <v>66</v>
      </c>
      <c r="F100" s="7" t="s">
        <v>331</v>
      </c>
      <c r="G100" s="10"/>
      <c r="H100" s="22"/>
      <c r="I100" s="11">
        <v>0.65694444444444444</v>
      </c>
      <c r="J100" s="12">
        <v>46176</v>
      </c>
      <c r="K100" s="26" t="s">
        <v>50</v>
      </c>
      <c r="L100" s="18"/>
      <c r="M100" s="10"/>
      <c r="N100" s="15" t="s">
        <v>332</v>
      </c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63.75" x14ac:dyDescent="0.3">
      <c r="A101" s="6" t="s">
        <v>452</v>
      </c>
      <c r="B101" s="7" t="s">
        <v>333</v>
      </c>
      <c r="C101" s="8">
        <v>10</v>
      </c>
      <c r="D101" s="9">
        <v>27</v>
      </c>
      <c r="E101" s="7" t="s">
        <v>212</v>
      </c>
      <c r="F101" s="7" t="s">
        <v>334</v>
      </c>
      <c r="G101" s="10"/>
      <c r="H101" s="22"/>
      <c r="I101" s="11">
        <v>0.7319444444444444</v>
      </c>
      <c r="J101" s="12">
        <v>46175</v>
      </c>
      <c r="K101" s="26" t="s">
        <v>50</v>
      </c>
      <c r="L101" s="18"/>
      <c r="M101" s="10"/>
      <c r="N101" s="15" t="s">
        <v>335</v>
      </c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63.75" x14ac:dyDescent="0.3">
      <c r="A102" s="6" t="s">
        <v>453</v>
      </c>
      <c r="B102" s="7" t="s">
        <v>336</v>
      </c>
      <c r="C102" s="8">
        <v>25</v>
      </c>
      <c r="D102" s="9">
        <v>13.55</v>
      </c>
      <c r="E102" s="7" t="s">
        <v>280</v>
      </c>
      <c r="F102" s="7" t="s">
        <v>337</v>
      </c>
      <c r="G102" s="10"/>
      <c r="H102" s="22"/>
      <c r="I102" s="11">
        <v>0.60347222222222219</v>
      </c>
      <c r="J102" s="12">
        <v>46176</v>
      </c>
      <c r="K102" s="26" t="s">
        <v>50</v>
      </c>
      <c r="L102" s="18"/>
      <c r="M102" s="10"/>
      <c r="N102" s="15" t="s">
        <v>338</v>
      </c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63.75" x14ac:dyDescent="0.3">
      <c r="A103" s="6" t="s">
        <v>454</v>
      </c>
      <c r="B103" s="7" t="s">
        <v>339</v>
      </c>
      <c r="C103" s="8">
        <v>10</v>
      </c>
      <c r="D103" s="9">
        <v>4.88</v>
      </c>
      <c r="E103" s="7" t="s">
        <v>280</v>
      </c>
      <c r="F103" s="7" t="s">
        <v>17</v>
      </c>
      <c r="G103" s="10"/>
      <c r="H103" s="10"/>
      <c r="I103" s="11">
        <v>0.31388888888888888</v>
      </c>
      <c r="J103" s="12">
        <v>46177</v>
      </c>
      <c r="K103" s="38"/>
      <c r="L103" s="18"/>
      <c r="M103" s="10"/>
      <c r="N103" s="15" t="s">
        <v>340</v>
      </c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48" x14ac:dyDescent="0.3">
      <c r="A104" s="6" t="s">
        <v>455</v>
      </c>
      <c r="B104" s="7" t="s">
        <v>333</v>
      </c>
      <c r="C104" s="8">
        <v>5</v>
      </c>
      <c r="D104" s="9">
        <v>13.5</v>
      </c>
      <c r="E104" s="7" t="s">
        <v>212</v>
      </c>
      <c r="F104" s="7" t="s">
        <v>341</v>
      </c>
      <c r="G104" s="10"/>
      <c r="H104" s="22"/>
      <c r="I104" s="11">
        <v>0.69791666666666663</v>
      </c>
      <c r="J104" s="12">
        <v>46145</v>
      </c>
      <c r="K104" s="26" t="s">
        <v>50</v>
      </c>
      <c r="L104" s="18"/>
      <c r="M104" s="10"/>
      <c r="N104" s="15" t="s">
        <v>335</v>
      </c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48" x14ac:dyDescent="0.3">
      <c r="A105" s="6" t="s">
        <v>456</v>
      </c>
      <c r="B105" s="7" t="s">
        <v>342</v>
      </c>
      <c r="C105" s="8">
        <v>5</v>
      </c>
      <c r="D105" s="9">
        <v>1.4</v>
      </c>
      <c r="E105" s="7" t="s">
        <v>343</v>
      </c>
      <c r="F105" s="7" t="s">
        <v>344</v>
      </c>
      <c r="G105" s="10"/>
      <c r="H105" s="22"/>
      <c r="I105" s="11">
        <v>0.73124999999999996</v>
      </c>
      <c r="J105" s="12">
        <v>46175</v>
      </c>
      <c r="K105" s="26" t="s">
        <v>50</v>
      </c>
      <c r="L105" s="18"/>
      <c r="M105" s="10"/>
      <c r="N105" s="15" t="s">
        <v>345</v>
      </c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48" x14ac:dyDescent="0.3">
      <c r="A106" s="6" t="s">
        <v>457</v>
      </c>
      <c r="B106" s="7" t="s">
        <v>346</v>
      </c>
      <c r="C106" s="8">
        <v>10</v>
      </c>
      <c r="D106" s="9">
        <v>10.15</v>
      </c>
      <c r="E106" s="7" t="s">
        <v>226</v>
      </c>
      <c r="F106" s="7" t="s">
        <v>347</v>
      </c>
      <c r="G106" s="10"/>
      <c r="H106" s="10"/>
      <c r="I106" s="11">
        <v>0.7</v>
      </c>
      <c r="J106" s="12">
        <v>46177</v>
      </c>
      <c r="K106" s="38"/>
      <c r="L106" s="18"/>
      <c r="M106" s="10"/>
      <c r="N106" s="15" t="s">
        <v>348</v>
      </c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48" x14ac:dyDescent="0.3">
      <c r="A107" s="6" t="s">
        <v>458</v>
      </c>
      <c r="B107" s="7" t="s">
        <v>349</v>
      </c>
      <c r="C107" s="8">
        <v>20</v>
      </c>
      <c r="D107" s="9">
        <v>4.08</v>
      </c>
      <c r="E107" s="7" t="s">
        <v>350</v>
      </c>
      <c r="F107" s="7" t="s">
        <v>108</v>
      </c>
      <c r="G107" s="10"/>
      <c r="H107" s="22"/>
      <c r="I107" s="11">
        <v>0.70347222222222228</v>
      </c>
      <c r="J107" s="12">
        <v>46175</v>
      </c>
      <c r="K107" s="26" t="s">
        <v>50</v>
      </c>
      <c r="L107" s="18"/>
      <c r="M107" s="10"/>
      <c r="N107" s="15" t="s">
        <v>351</v>
      </c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2.75" x14ac:dyDescent="0.2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39"/>
      <c r="M108" s="16"/>
      <c r="N108" s="40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2.75" x14ac:dyDescent="0.2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39"/>
      <c r="M109" s="16"/>
      <c r="N109" s="40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8.75" x14ac:dyDescent="0.3">
      <c r="A110" s="16"/>
      <c r="B110" s="41" t="s">
        <v>352</v>
      </c>
      <c r="C110" s="42">
        <f t="shared" ref="C110:D110" si="0">SUM(C5:C107)</f>
        <v>2726</v>
      </c>
      <c r="D110" s="41">
        <f t="shared" si="0"/>
        <v>2108.6710000000003</v>
      </c>
      <c r="E110" s="16"/>
      <c r="F110" s="16"/>
      <c r="G110" s="16"/>
      <c r="H110" s="16"/>
      <c r="I110" s="16"/>
      <c r="J110" s="16"/>
      <c r="K110" s="16"/>
      <c r="L110" s="39"/>
      <c r="M110" s="16"/>
      <c r="N110" s="40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8.75" x14ac:dyDescent="0.3">
      <c r="A111" s="16"/>
      <c r="B111" s="43"/>
      <c r="C111" s="42" t="s">
        <v>353</v>
      </c>
      <c r="D111" s="41" t="s">
        <v>354</v>
      </c>
      <c r="E111" s="16"/>
      <c r="F111" s="16"/>
      <c r="G111" s="16"/>
      <c r="H111" s="16"/>
      <c r="I111" s="16"/>
      <c r="J111" s="16"/>
      <c r="K111" s="16"/>
      <c r="L111" s="39"/>
      <c r="M111" s="16"/>
      <c r="N111" s="40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2.75" x14ac:dyDescent="0.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44"/>
      <c r="M112" s="16"/>
      <c r="N112" s="40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2.75" x14ac:dyDescent="0.2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44"/>
      <c r="M113" s="16"/>
      <c r="N113" s="40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2.75" x14ac:dyDescent="0.2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44"/>
      <c r="M114" s="16"/>
      <c r="N114" s="40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2.75" x14ac:dyDescent="0.2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44"/>
      <c r="M115" s="16"/>
      <c r="N115" s="40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2.75" x14ac:dyDescent="0.2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44"/>
      <c r="M116" s="16"/>
      <c r="N116" s="40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2.75" x14ac:dyDescent="0.2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44"/>
      <c r="M117" s="16"/>
      <c r="N117" s="40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2.75" x14ac:dyDescent="0.2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44"/>
      <c r="M118" s="16"/>
      <c r="N118" s="40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2.75" x14ac:dyDescent="0.2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44"/>
      <c r="M119" s="16"/>
      <c r="N119" s="40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2.75" x14ac:dyDescent="0.2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44"/>
      <c r="M120" s="16"/>
      <c r="N120" s="40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2.75" x14ac:dyDescent="0.2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44"/>
      <c r="M121" s="16"/>
      <c r="N121" s="40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2.75" x14ac:dyDescent="0.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44"/>
      <c r="M122" s="16"/>
      <c r="N122" s="40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2.75" x14ac:dyDescent="0.2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44"/>
      <c r="M123" s="16"/>
      <c r="N123" s="40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2.75" x14ac:dyDescent="0.2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44"/>
      <c r="M124" s="16"/>
      <c r="N124" s="40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2.75" x14ac:dyDescent="0.2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44"/>
      <c r="M125" s="16"/>
      <c r="N125" s="40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2.75" x14ac:dyDescent="0.2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44"/>
      <c r="M126" s="16"/>
      <c r="N126" s="40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2.75" x14ac:dyDescent="0.2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44"/>
      <c r="M127" s="16"/>
      <c r="N127" s="40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2.75" x14ac:dyDescent="0.2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44"/>
      <c r="M128" s="16"/>
      <c r="N128" s="40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2.75" x14ac:dyDescent="0.2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44"/>
      <c r="M129" s="16"/>
      <c r="N129" s="40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2.75" x14ac:dyDescent="0.2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44"/>
      <c r="M130" s="16"/>
      <c r="N130" s="40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2.75" x14ac:dyDescent="0.2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44"/>
      <c r="M131" s="16"/>
      <c r="N131" s="40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2.75" x14ac:dyDescent="0.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44"/>
      <c r="M132" s="16"/>
      <c r="N132" s="40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2.75" x14ac:dyDescent="0.2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44"/>
      <c r="M133" s="16"/>
      <c r="N133" s="40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2.75" x14ac:dyDescent="0.2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44"/>
      <c r="M134" s="16"/>
      <c r="N134" s="40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2.75" x14ac:dyDescent="0.2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44"/>
      <c r="M135" s="16"/>
      <c r="N135" s="40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2.75" x14ac:dyDescent="0.2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44"/>
      <c r="M136" s="16"/>
      <c r="N136" s="40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2.75" x14ac:dyDescent="0.2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44"/>
      <c r="M137" s="16"/>
      <c r="N137" s="40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2.75" x14ac:dyDescent="0.2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44"/>
      <c r="M138" s="16"/>
      <c r="N138" s="40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2.75" x14ac:dyDescent="0.2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44"/>
      <c r="M139" s="16"/>
      <c r="N139" s="40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2.75" x14ac:dyDescent="0.2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44"/>
      <c r="M140" s="16"/>
      <c r="N140" s="40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2.75" x14ac:dyDescent="0.2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44"/>
      <c r="M141" s="16"/>
      <c r="N141" s="40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2.75" x14ac:dyDescent="0.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44"/>
      <c r="M142" s="16"/>
      <c r="N142" s="40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2.75" x14ac:dyDescent="0.2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44"/>
      <c r="M143" s="16"/>
      <c r="N143" s="40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2.75" x14ac:dyDescent="0.2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44"/>
      <c r="M144" s="16"/>
      <c r="N144" s="40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2.75" x14ac:dyDescent="0.2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44"/>
      <c r="M145" s="16"/>
      <c r="N145" s="40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2.75" x14ac:dyDescent="0.2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44"/>
      <c r="M146" s="16"/>
      <c r="N146" s="40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2.75" x14ac:dyDescent="0.2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44"/>
      <c r="M147" s="16"/>
      <c r="N147" s="40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2.75" x14ac:dyDescent="0.2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44"/>
      <c r="M148" s="16"/>
      <c r="N148" s="40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2.75" x14ac:dyDescent="0.2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44"/>
      <c r="M149" s="16"/>
      <c r="N149" s="40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2.75" x14ac:dyDescent="0.2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44"/>
      <c r="M150" s="16"/>
      <c r="N150" s="40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2.75" x14ac:dyDescent="0.2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44"/>
      <c r="M151" s="16"/>
      <c r="N151" s="40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2.75" x14ac:dyDescent="0.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44"/>
      <c r="M152" s="16"/>
      <c r="N152" s="40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2.75" x14ac:dyDescent="0.2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44"/>
      <c r="M153" s="16"/>
      <c r="N153" s="40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2.75" x14ac:dyDescent="0.2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44"/>
      <c r="M154" s="16"/>
      <c r="N154" s="40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2.75" x14ac:dyDescent="0.2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44"/>
      <c r="M155" s="16"/>
      <c r="N155" s="40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2.75" x14ac:dyDescent="0.2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44"/>
      <c r="M156" s="16"/>
      <c r="N156" s="40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2.75" x14ac:dyDescent="0.2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44"/>
      <c r="M157" s="16"/>
      <c r="N157" s="40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2.75" x14ac:dyDescent="0.2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44"/>
      <c r="M158" s="16"/>
      <c r="N158" s="40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2.75" x14ac:dyDescent="0.2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44"/>
      <c r="M159" s="16"/>
      <c r="N159" s="40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2.75" x14ac:dyDescent="0.2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44"/>
      <c r="M160" s="16"/>
      <c r="N160" s="40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2.75" x14ac:dyDescent="0.2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44"/>
      <c r="M161" s="16"/>
      <c r="N161" s="40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2.75" x14ac:dyDescent="0.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44"/>
      <c r="M162" s="16"/>
      <c r="N162" s="40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2.75" x14ac:dyDescent="0.2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44"/>
      <c r="M163" s="16"/>
      <c r="N163" s="40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2.75" x14ac:dyDescent="0.2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44"/>
      <c r="M164" s="16"/>
      <c r="N164" s="40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2.75" x14ac:dyDescent="0.2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44"/>
      <c r="M165" s="16"/>
      <c r="N165" s="40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2.75" x14ac:dyDescent="0.2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44"/>
      <c r="M166" s="16"/>
      <c r="N166" s="40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2.75" x14ac:dyDescent="0.2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44"/>
      <c r="M167" s="16"/>
      <c r="N167" s="40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2.75" x14ac:dyDescent="0.2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44"/>
      <c r="M168" s="16"/>
      <c r="N168" s="40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2.75" x14ac:dyDescent="0.2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44"/>
      <c r="M169" s="16"/>
      <c r="N169" s="40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2.75" x14ac:dyDescent="0.2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44"/>
      <c r="M170" s="16"/>
      <c r="N170" s="40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2.75" x14ac:dyDescent="0.2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44"/>
      <c r="M171" s="16"/>
      <c r="N171" s="40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2.75" x14ac:dyDescent="0.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44"/>
      <c r="M172" s="16"/>
      <c r="N172" s="40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2.75" x14ac:dyDescent="0.2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44"/>
      <c r="M173" s="16"/>
      <c r="N173" s="40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2.75" x14ac:dyDescent="0.2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44"/>
      <c r="M174" s="16"/>
      <c r="N174" s="40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2.75" x14ac:dyDescent="0.2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44"/>
      <c r="M175" s="16"/>
      <c r="N175" s="40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2.75" x14ac:dyDescent="0.2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44"/>
      <c r="M176" s="16"/>
      <c r="N176" s="40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2.75" x14ac:dyDescent="0.2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44"/>
      <c r="M177" s="16"/>
      <c r="N177" s="40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2.75" x14ac:dyDescent="0.2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44"/>
      <c r="M178" s="16"/>
      <c r="N178" s="40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2.75" x14ac:dyDescent="0.2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44"/>
      <c r="M179" s="16"/>
      <c r="N179" s="40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2.75" x14ac:dyDescent="0.2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44"/>
      <c r="M180" s="16"/>
      <c r="N180" s="40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2.75" x14ac:dyDescent="0.2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44"/>
      <c r="M181" s="16"/>
      <c r="N181" s="40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2.75" x14ac:dyDescent="0.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44"/>
      <c r="M182" s="16"/>
      <c r="N182" s="40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2.75" x14ac:dyDescent="0.2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44"/>
      <c r="M183" s="16"/>
      <c r="N183" s="40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2.75" x14ac:dyDescent="0.2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44"/>
      <c r="M184" s="16"/>
      <c r="N184" s="40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2.75" x14ac:dyDescent="0.2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44"/>
      <c r="M185" s="16"/>
      <c r="N185" s="40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2.75" x14ac:dyDescent="0.2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44"/>
      <c r="M186" s="16"/>
      <c r="N186" s="40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2.75" x14ac:dyDescent="0.2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44"/>
      <c r="M187" s="16"/>
      <c r="N187" s="40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2.75" x14ac:dyDescent="0.2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44"/>
      <c r="M188" s="16"/>
      <c r="N188" s="40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2.75" x14ac:dyDescent="0.2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44"/>
      <c r="M189" s="16"/>
      <c r="N189" s="40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2.75" x14ac:dyDescent="0.2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44"/>
      <c r="M190" s="16"/>
      <c r="N190" s="40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2.75" x14ac:dyDescent="0.2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44"/>
      <c r="M191" s="16"/>
      <c r="N191" s="40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2.75" x14ac:dyDescent="0.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44"/>
      <c r="M192" s="16"/>
      <c r="N192" s="40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2.75" x14ac:dyDescent="0.2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44"/>
      <c r="M193" s="16"/>
      <c r="N193" s="40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2.75" x14ac:dyDescent="0.2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44"/>
      <c r="M194" s="16"/>
      <c r="N194" s="40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2.75" x14ac:dyDescent="0.2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44"/>
      <c r="M195" s="16"/>
      <c r="N195" s="40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2.75" x14ac:dyDescent="0.2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44"/>
      <c r="M196" s="16"/>
      <c r="N196" s="40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2.75" x14ac:dyDescent="0.2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44"/>
      <c r="M197" s="16"/>
      <c r="N197" s="40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2.75" x14ac:dyDescent="0.2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44"/>
      <c r="M198" s="16"/>
      <c r="N198" s="40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2.75" x14ac:dyDescent="0.2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44"/>
      <c r="M199" s="16"/>
      <c r="N199" s="40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2.75" x14ac:dyDescent="0.2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44"/>
      <c r="M200" s="16"/>
      <c r="N200" s="40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2.75" x14ac:dyDescent="0.2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44"/>
      <c r="M201" s="16"/>
      <c r="N201" s="40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2.75" x14ac:dyDescent="0.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44"/>
      <c r="M202" s="16"/>
      <c r="N202" s="40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2.75" x14ac:dyDescent="0.2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44"/>
      <c r="M203" s="16"/>
      <c r="N203" s="40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2.75" x14ac:dyDescent="0.2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44"/>
      <c r="M204" s="16"/>
      <c r="N204" s="40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2.75" x14ac:dyDescent="0.2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44"/>
      <c r="M205" s="16"/>
      <c r="N205" s="40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2.75" x14ac:dyDescent="0.2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44"/>
      <c r="M206" s="16"/>
      <c r="N206" s="40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2.75" x14ac:dyDescent="0.2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44"/>
      <c r="M207" s="16"/>
      <c r="N207" s="40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2.75" x14ac:dyDescent="0.2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44"/>
      <c r="M208" s="16"/>
      <c r="N208" s="40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2.75" x14ac:dyDescent="0.2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44"/>
      <c r="M209" s="16"/>
      <c r="N209" s="40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2.75" x14ac:dyDescent="0.2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44"/>
      <c r="M210" s="16"/>
      <c r="N210" s="40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2.75" x14ac:dyDescent="0.2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44"/>
      <c r="M211" s="16"/>
      <c r="N211" s="40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2.75" x14ac:dyDescent="0.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44"/>
      <c r="M212" s="16"/>
      <c r="N212" s="40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2.75" x14ac:dyDescent="0.2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44"/>
      <c r="M213" s="16"/>
      <c r="N213" s="40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2.75" x14ac:dyDescent="0.2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44"/>
      <c r="M214" s="16"/>
      <c r="N214" s="40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2.75" x14ac:dyDescent="0.2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44"/>
      <c r="M215" s="16"/>
      <c r="N215" s="40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2.75" x14ac:dyDescent="0.2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44"/>
      <c r="M216" s="16"/>
      <c r="N216" s="40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2.75" x14ac:dyDescent="0.2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44"/>
      <c r="M217" s="16"/>
      <c r="N217" s="40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2.75" x14ac:dyDescent="0.2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44"/>
      <c r="M218" s="16"/>
      <c r="N218" s="40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2.75" x14ac:dyDescent="0.2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44"/>
      <c r="M219" s="16"/>
      <c r="N219" s="40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2.75" x14ac:dyDescent="0.2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44"/>
      <c r="M220" s="16"/>
      <c r="N220" s="40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2.75" x14ac:dyDescent="0.2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44"/>
      <c r="M221" s="16"/>
      <c r="N221" s="40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2.75" x14ac:dyDescent="0.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44"/>
      <c r="M222" s="16"/>
      <c r="N222" s="40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2.75" x14ac:dyDescent="0.2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44"/>
      <c r="M223" s="16"/>
      <c r="N223" s="40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2.75" x14ac:dyDescent="0.2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44"/>
      <c r="M224" s="16"/>
      <c r="N224" s="40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2.75" x14ac:dyDescent="0.2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44"/>
      <c r="M225" s="16"/>
      <c r="N225" s="40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2.75" x14ac:dyDescent="0.2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44"/>
      <c r="M226" s="16"/>
      <c r="N226" s="40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2.75" x14ac:dyDescent="0.2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44"/>
      <c r="M227" s="16"/>
      <c r="N227" s="40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2.75" x14ac:dyDescent="0.2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44"/>
      <c r="M228" s="16"/>
      <c r="N228" s="40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2.75" x14ac:dyDescent="0.2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44"/>
      <c r="M229" s="16"/>
      <c r="N229" s="40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2.75" x14ac:dyDescent="0.2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44"/>
      <c r="M230" s="16"/>
      <c r="N230" s="40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2.75" x14ac:dyDescent="0.2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44"/>
      <c r="M231" s="16"/>
      <c r="N231" s="40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2.75" x14ac:dyDescent="0.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44"/>
      <c r="M232" s="16"/>
      <c r="N232" s="40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2.75" x14ac:dyDescent="0.2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44"/>
      <c r="M233" s="16"/>
      <c r="N233" s="40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2.75" x14ac:dyDescent="0.2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44"/>
      <c r="M234" s="16"/>
      <c r="N234" s="40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2.75" x14ac:dyDescent="0.2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44"/>
      <c r="M235" s="16"/>
      <c r="N235" s="40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2.75" x14ac:dyDescent="0.2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44"/>
      <c r="M236" s="16"/>
      <c r="N236" s="40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2.75" x14ac:dyDescent="0.2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44"/>
      <c r="M237" s="16"/>
      <c r="N237" s="40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2.75" x14ac:dyDescent="0.2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44"/>
      <c r="M238" s="16"/>
      <c r="N238" s="40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2.75" x14ac:dyDescent="0.2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44"/>
      <c r="M239" s="16"/>
      <c r="N239" s="40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2.75" x14ac:dyDescent="0.2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44"/>
      <c r="M240" s="16"/>
      <c r="N240" s="40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2.75" x14ac:dyDescent="0.2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44"/>
      <c r="M241" s="16"/>
      <c r="N241" s="40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2.75" x14ac:dyDescent="0.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44"/>
      <c r="M242" s="16"/>
      <c r="N242" s="40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2.75" x14ac:dyDescent="0.2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44"/>
      <c r="M243" s="16"/>
      <c r="N243" s="40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2.75" x14ac:dyDescent="0.2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44"/>
      <c r="M244" s="16"/>
      <c r="N244" s="40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2.75" x14ac:dyDescent="0.2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44"/>
      <c r="M245" s="16"/>
      <c r="N245" s="40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2.75" x14ac:dyDescent="0.2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44"/>
      <c r="M246" s="16"/>
      <c r="N246" s="40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2.75" x14ac:dyDescent="0.2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44"/>
      <c r="M247" s="16"/>
      <c r="N247" s="40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2.75" x14ac:dyDescent="0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44"/>
      <c r="M248" s="16"/>
      <c r="N248" s="40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2.75" x14ac:dyDescent="0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44"/>
      <c r="M249" s="16"/>
      <c r="N249" s="40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2.75" x14ac:dyDescent="0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44"/>
      <c r="M250" s="16"/>
      <c r="N250" s="40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2.75" x14ac:dyDescent="0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44"/>
      <c r="M251" s="16"/>
      <c r="N251" s="40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2.75" x14ac:dyDescent="0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44"/>
      <c r="M252" s="16"/>
      <c r="N252" s="40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2.75" x14ac:dyDescent="0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44"/>
      <c r="M253" s="16"/>
      <c r="N253" s="40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2.75" x14ac:dyDescent="0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44"/>
      <c r="M254" s="16"/>
      <c r="N254" s="40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2.75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44"/>
      <c r="M255" s="16"/>
      <c r="N255" s="40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2.75" x14ac:dyDescent="0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44"/>
      <c r="M256" s="16"/>
      <c r="N256" s="40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2.75" x14ac:dyDescent="0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44"/>
      <c r="M257" s="16"/>
      <c r="N257" s="40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2.75" x14ac:dyDescent="0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44"/>
      <c r="M258" s="16"/>
      <c r="N258" s="40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2.75" x14ac:dyDescent="0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44"/>
      <c r="M259" s="16"/>
      <c r="N259" s="40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2.75" x14ac:dyDescent="0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44"/>
      <c r="M260" s="16"/>
      <c r="N260" s="40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2.75" x14ac:dyDescent="0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44"/>
      <c r="M261" s="16"/>
      <c r="N261" s="40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2.75" x14ac:dyDescent="0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44"/>
      <c r="M262" s="16"/>
      <c r="N262" s="40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2.75" x14ac:dyDescent="0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44"/>
      <c r="M263" s="16"/>
      <c r="N263" s="40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2.75" x14ac:dyDescent="0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44"/>
      <c r="M264" s="16"/>
      <c r="N264" s="40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2.75" x14ac:dyDescent="0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44"/>
      <c r="M265" s="16"/>
      <c r="N265" s="40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2.75" x14ac:dyDescent="0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44"/>
      <c r="M266" s="16"/>
      <c r="N266" s="40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2.75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44"/>
      <c r="M267" s="16"/>
      <c r="N267" s="40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2.75" x14ac:dyDescent="0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44"/>
      <c r="M268" s="16"/>
      <c r="N268" s="40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2.75" x14ac:dyDescent="0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44"/>
      <c r="M269" s="16"/>
      <c r="N269" s="40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2.75" x14ac:dyDescent="0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44"/>
      <c r="M270" s="16"/>
      <c r="N270" s="40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2.75" x14ac:dyDescent="0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44"/>
      <c r="M271" s="16"/>
      <c r="N271" s="40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2.75" x14ac:dyDescent="0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44"/>
      <c r="M272" s="16"/>
      <c r="N272" s="40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2.75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44"/>
      <c r="M273" s="16"/>
      <c r="N273" s="40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2.75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44"/>
      <c r="M274" s="16"/>
      <c r="N274" s="40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2.75" x14ac:dyDescent="0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44"/>
      <c r="M275" s="16"/>
      <c r="N275" s="40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2.75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44"/>
      <c r="M276" s="16"/>
      <c r="N276" s="40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2.75" x14ac:dyDescent="0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44"/>
      <c r="M277" s="16"/>
      <c r="N277" s="40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2.75" x14ac:dyDescent="0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44"/>
      <c r="M278" s="16"/>
      <c r="N278" s="40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2.75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44"/>
      <c r="M279" s="16"/>
      <c r="N279" s="40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2.75" x14ac:dyDescent="0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44"/>
      <c r="M280" s="16"/>
      <c r="N280" s="40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2.75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44"/>
      <c r="M281" s="16"/>
      <c r="N281" s="40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2.75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44"/>
      <c r="M282" s="16"/>
      <c r="N282" s="40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2.75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44"/>
      <c r="M283" s="16"/>
      <c r="N283" s="40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2.75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44"/>
      <c r="M284" s="16"/>
      <c r="N284" s="40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2.75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44"/>
      <c r="M285" s="16"/>
      <c r="N285" s="40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2.75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44"/>
      <c r="M286" s="16"/>
      <c r="N286" s="40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2.75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44"/>
      <c r="M287" s="16"/>
      <c r="N287" s="40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2.75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44"/>
      <c r="M288" s="16"/>
      <c r="N288" s="40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2.75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44"/>
      <c r="M289" s="16"/>
      <c r="N289" s="40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2.75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44"/>
      <c r="M290" s="16"/>
      <c r="N290" s="40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2.75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44"/>
      <c r="M291" s="16"/>
      <c r="N291" s="40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2.75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44"/>
      <c r="M292" s="16"/>
      <c r="N292" s="40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2.75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44"/>
      <c r="M293" s="16"/>
      <c r="N293" s="40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2.75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44"/>
      <c r="M294" s="16"/>
      <c r="N294" s="40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2.75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44"/>
      <c r="M295" s="16"/>
      <c r="N295" s="40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2.75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44"/>
      <c r="M296" s="16"/>
      <c r="N296" s="40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2.75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44"/>
      <c r="M297" s="16"/>
      <c r="N297" s="40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2.75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44"/>
      <c r="M298" s="16"/>
      <c r="N298" s="40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2.75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44"/>
      <c r="M299" s="16"/>
      <c r="N299" s="40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2.75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44"/>
      <c r="M300" s="16"/>
      <c r="N300" s="40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2.75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44"/>
      <c r="M301" s="16"/>
      <c r="N301" s="40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2.75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44"/>
      <c r="M302" s="16"/>
      <c r="N302" s="40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2.75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44"/>
      <c r="M303" s="16"/>
      <c r="N303" s="40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2.75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44"/>
      <c r="M304" s="16"/>
      <c r="N304" s="40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2.75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44"/>
      <c r="M305" s="16"/>
      <c r="N305" s="40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2.75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44"/>
      <c r="M306" s="16"/>
      <c r="N306" s="40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2.75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44"/>
      <c r="M307" s="16"/>
      <c r="N307" s="40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2.75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44"/>
      <c r="M308" s="16"/>
      <c r="N308" s="40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2.75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44"/>
      <c r="M309" s="16"/>
      <c r="N309" s="40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2.75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44"/>
      <c r="M310" s="16"/>
      <c r="N310" s="40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2.75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44"/>
      <c r="M311" s="16"/>
      <c r="N311" s="40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2.75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44"/>
      <c r="M312" s="16"/>
      <c r="N312" s="40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2.75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44"/>
      <c r="M313" s="16"/>
      <c r="N313" s="40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2.75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44"/>
      <c r="M314" s="16"/>
      <c r="N314" s="40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2.75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44"/>
      <c r="M315" s="16"/>
      <c r="N315" s="40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2.75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44"/>
      <c r="M316" s="16"/>
      <c r="N316" s="40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2.75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44"/>
      <c r="M317" s="16"/>
      <c r="N317" s="40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2.75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44"/>
      <c r="M318" s="16"/>
      <c r="N318" s="40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2.75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44"/>
      <c r="M319" s="16"/>
      <c r="N319" s="40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2.75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44"/>
      <c r="M320" s="16"/>
      <c r="N320" s="40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2.75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44"/>
      <c r="M321" s="16"/>
      <c r="N321" s="40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2.75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44"/>
      <c r="M322" s="16"/>
      <c r="N322" s="40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2.75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44"/>
      <c r="M323" s="16"/>
      <c r="N323" s="40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2.75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44"/>
      <c r="M324" s="16"/>
      <c r="N324" s="40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2.75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44"/>
      <c r="M325" s="16"/>
      <c r="N325" s="40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2.75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44"/>
      <c r="M326" s="16"/>
      <c r="N326" s="40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2.75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44"/>
      <c r="M327" s="16"/>
      <c r="N327" s="40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2.75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44"/>
      <c r="M328" s="16"/>
      <c r="N328" s="40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2.75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44"/>
      <c r="M329" s="16"/>
      <c r="N329" s="40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2.75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44"/>
      <c r="M330" s="16"/>
      <c r="N330" s="40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2.75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44"/>
      <c r="M331" s="16"/>
      <c r="N331" s="40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2.75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44"/>
      <c r="M332" s="16"/>
      <c r="N332" s="40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2.75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44"/>
      <c r="M333" s="16"/>
      <c r="N333" s="40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2.75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44"/>
      <c r="M334" s="16"/>
      <c r="N334" s="40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2.75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44"/>
      <c r="M335" s="16"/>
      <c r="N335" s="40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2.75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44"/>
      <c r="M336" s="16"/>
      <c r="N336" s="40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2.75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44"/>
      <c r="M337" s="16"/>
      <c r="N337" s="40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2.75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44"/>
      <c r="M338" s="16"/>
      <c r="N338" s="40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2.75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44"/>
      <c r="M339" s="16"/>
      <c r="N339" s="40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2.75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44"/>
      <c r="M340" s="16"/>
      <c r="N340" s="40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2.75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44"/>
      <c r="M341" s="16"/>
      <c r="N341" s="40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2.75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44"/>
      <c r="M342" s="16"/>
      <c r="N342" s="40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2.75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44"/>
      <c r="M343" s="16"/>
      <c r="N343" s="40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2.75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44"/>
      <c r="M344" s="16"/>
      <c r="N344" s="40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2.75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44"/>
      <c r="M345" s="16"/>
      <c r="N345" s="40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2.75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44"/>
      <c r="M346" s="16"/>
      <c r="N346" s="40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2.75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44"/>
      <c r="M347" s="16"/>
      <c r="N347" s="40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2.75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44"/>
      <c r="M348" s="16"/>
      <c r="N348" s="40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2.75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44"/>
      <c r="M349" s="16"/>
      <c r="N349" s="40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2.75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44"/>
      <c r="M350" s="16"/>
      <c r="N350" s="40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2.75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44"/>
      <c r="M351" s="16"/>
      <c r="N351" s="40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2.75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44"/>
      <c r="M352" s="16"/>
      <c r="N352" s="40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2.75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44"/>
      <c r="M353" s="16"/>
      <c r="N353" s="40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2.75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44"/>
      <c r="M354" s="16"/>
      <c r="N354" s="40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2.75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44"/>
      <c r="M355" s="16"/>
      <c r="N355" s="40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2.75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44"/>
      <c r="M356" s="16"/>
      <c r="N356" s="40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2.75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44"/>
      <c r="M357" s="16"/>
      <c r="N357" s="40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2.75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44"/>
      <c r="M358" s="16"/>
      <c r="N358" s="40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2.75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44"/>
      <c r="M359" s="16"/>
      <c r="N359" s="40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2.75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44"/>
      <c r="M360" s="16"/>
      <c r="N360" s="40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2.75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44"/>
      <c r="M361" s="16"/>
      <c r="N361" s="40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2.75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44"/>
      <c r="M362" s="16"/>
      <c r="N362" s="40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2.75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44"/>
      <c r="M363" s="16"/>
      <c r="N363" s="40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2.75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44"/>
      <c r="M364" s="16"/>
      <c r="N364" s="40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2.75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44"/>
      <c r="M365" s="16"/>
      <c r="N365" s="40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2.75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44"/>
      <c r="M366" s="16"/>
      <c r="N366" s="40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2.75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44"/>
      <c r="M367" s="16"/>
      <c r="N367" s="40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2.75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44"/>
      <c r="M368" s="16"/>
      <c r="N368" s="40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2.75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44"/>
      <c r="M369" s="16"/>
      <c r="N369" s="40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2.75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44"/>
      <c r="M370" s="16"/>
      <c r="N370" s="40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2.75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44"/>
      <c r="M371" s="16"/>
      <c r="N371" s="40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2.75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44"/>
      <c r="M372" s="16"/>
      <c r="N372" s="40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2.75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44"/>
      <c r="M373" s="16"/>
      <c r="N373" s="40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2.75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44"/>
      <c r="M374" s="16"/>
      <c r="N374" s="40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2.75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44"/>
      <c r="M375" s="16"/>
      <c r="N375" s="40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2.75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44"/>
      <c r="M376" s="16"/>
      <c r="N376" s="40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2.75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44"/>
      <c r="M377" s="16"/>
      <c r="N377" s="40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2.75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44"/>
      <c r="M378" s="16"/>
      <c r="N378" s="40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2.75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44"/>
      <c r="M379" s="16"/>
      <c r="N379" s="40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2.75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44"/>
      <c r="M380" s="16"/>
      <c r="N380" s="40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2.75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44"/>
      <c r="M381" s="16"/>
      <c r="N381" s="40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2.75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44"/>
      <c r="M382" s="16"/>
      <c r="N382" s="40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2.75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44"/>
      <c r="M383" s="16"/>
      <c r="N383" s="40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2.75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44"/>
      <c r="M384" s="16"/>
      <c r="N384" s="40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2.75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44"/>
      <c r="M385" s="16"/>
      <c r="N385" s="40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2.75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44"/>
      <c r="M386" s="16"/>
      <c r="N386" s="40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2.75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44"/>
      <c r="M387" s="16"/>
      <c r="N387" s="40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2.75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44"/>
      <c r="M388" s="16"/>
      <c r="N388" s="40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2.75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44"/>
      <c r="M389" s="16"/>
      <c r="N389" s="40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2.75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44"/>
      <c r="M390" s="16"/>
      <c r="N390" s="40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2.75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44"/>
      <c r="M391" s="16"/>
      <c r="N391" s="40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2.75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44"/>
      <c r="M392" s="16"/>
      <c r="N392" s="40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2.75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44"/>
      <c r="M393" s="16"/>
      <c r="N393" s="40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2.75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44"/>
      <c r="M394" s="16"/>
      <c r="N394" s="40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2.75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44"/>
      <c r="M395" s="16"/>
      <c r="N395" s="40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2.75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44"/>
      <c r="M396" s="16"/>
      <c r="N396" s="40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2.75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44"/>
      <c r="M397" s="16"/>
      <c r="N397" s="40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2.75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44"/>
      <c r="M398" s="16"/>
      <c r="N398" s="40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2.75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44"/>
      <c r="M399" s="16"/>
      <c r="N399" s="40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2.75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44"/>
      <c r="M400" s="16"/>
      <c r="N400" s="40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2.75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44"/>
      <c r="M401" s="16"/>
      <c r="N401" s="40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2.75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44"/>
      <c r="M402" s="16"/>
      <c r="N402" s="40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2.75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44"/>
      <c r="M403" s="16"/>
      <c r="N403" s="40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2.75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44"/>
      <c r="M404" s="16"/>
      <c r="N404" s="40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2.75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44"/>
      <c r="M405" s="16"/>
      <c r="N405" s="40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2.75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44"/>
      <c r="M406" s="16"/>
      <c r="N406" s="40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2.75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44"/>
      <c r="M407" s="16"/>
      <c r="N407" s="40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2.75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44"/>
      <c r="M408" s="16"/>
      <c r="N408" s="40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2.75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44"/>
      <c r="M409" s="16"/>
      <c r="N409" s="40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2.75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44"/>
      <c r="M410" s="16"/>
      <c r="N410" s="40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2.75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44"/>
      <c r="M411" s="16"/>
      <c r="N411" s="40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2.75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44"/>
      <c r="M412" s="16"/>
      <c r="N412" s="40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2.75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44"/>
      <c r="M413" s="16"/>
      <c r="N413" s="40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2.75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44"/>
      <c r="M414" s="16"/>
      <c r="N414" s="40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2.75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44"/>
      <c r="M415" s="16"/>
      <c r="N415" s="40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2.75" x14ac:dyDescent="0.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44"/>
      <c r="M416" s="16"/>
      <c r="N416" s="40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2.75" x14ac:dyDescent="0.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44"/>
      <c r="M417" s="16"/>
      <c r="N417" s="40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2.75" x14ac:dyDescent="0.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44"/>
      <c r="M418" s="16"/>
      <c r="N418" s="40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2.75" x14ac:dyDescent="0.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44"/>
      <c r="M419" s="16"/>
      <c r="N419" s="40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2.75" x14ac:dyDescent="0.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44"/>
      <c r="M420" s="16"/>
      <c r="N420" s="40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2.75" x14ac:dyDescent="0.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44"/>
      <c r="M421" s="16"/>
      <c r="N421" s="40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2.75" x14ac:dyDescent="0.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44"/>
      <c r="M422" s="16"/>
      <c r="N422" s="40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2.75" x14ac:dyDescent="0.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44"/>
      <c r="M423" s="16"/>
      <c r="N423" s="40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2.75" x14ac:dyDescent="0.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44"/>
      <c r="M424" s="16"/>
      <c r="N424" s="40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2.75" x14ac:dyDescent="0.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44"/>
      <c r="M425" s="16"/>
      <c r="N425" s="40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2.75" x14ac:dyDescent="0.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44"/>
      <c r="M426" s="16"/>
      <c r="N426" s="40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2.75" x14ac:dyDescent="0.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44"/>
      <c r="M427" s="16"/>
      <c r="N427" s="40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2.75" x14ac:dyDescent="0.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44"/>
      <c r="M428" s="16"/>
      <c r="N428" s="40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2.75" x14ac:dyDescent="0.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44"/>
      <c r="M429" s="16"/>
      <c r="N429" s="40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2.75" x14ac:dyDescent="0.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44"/>
      <c r="M430" s="16"/>
      <c r="N430" s="40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2.75" x14ac:dyDescent="0.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44"/>
      <c r="M431" s="16"/>
      <c r="N431" s="40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2.75" x14ac:dyDescent="0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44"/>
      <c r="M432" s="16"/>
      <c r="N432" s="40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2.75" x14ac:dyDescent="0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44"/>
      <c r="M433" s="16"/>
      <c r="N433" s="40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2.75" x14ac:dyDescent="0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44"/>
      <c r="M434" s="16"/>
      <c r="N434" s="40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2.75" x14ac:dyDescent="0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44"/>
      <c r="M435" s="16"/>
      <c r="N435" s="40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2.75" x14ac:dyDescent="0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44"/>
      <c r="M436" s="16"/>
      <c r="N436" s="40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2.75" x14ac:dyDescent="0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44"/>
      <c r="M437" s="16"/>
      <c r="N437" s="40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2.75" x14ac:dyDescent="0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44"/>
      <c r="M438" s="16"/>
      <c r="N438" s="40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2.75" x14ac:dyDescent="0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44"/>
      <c r="M439" s="16"/>
      <c r="N439" s="40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2.75" x14ac:dyDescent="0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44"/>
      <c r="M440" s="16"/>
      <c r="N440" s="40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2.75" x14ac:dyDescent="0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44"/>
      <c r="M441" s="16"/>
      <c r="N441" s="40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2.75" x14ac:dyDescent="0.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44"/>
      <c r="M442" s="16"/>
      <c r="N442" s="40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2.75" x14ac:dyDescent="0.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44"/>
      <c r="M443" s="16"/>
      <c r="N443" s="40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2.75" x14ac:dyDescent="0.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44"/>
      <c r="M444" s="16"/>
      <c r="N444" s="40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2.75" x14ac:dyDescent="0.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44"/>
      <c r="M445" s="16"/>
      <c r="N445" s="40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2.75" x14ac:dyDescent="0.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44"/>
      <c r="M446" s="16"/>
      <c r="N446" s="40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2.75" x14ac:dyDescent="0.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44"/>
      <c r="M447" s="16"/>
      <c r="N447" s="40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2.75" x14ac:dyDescent="0.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44"/>
      <c r="M448" s="16"/>
      <c r="N448" s="40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2.75" x14ac:dyDescent="0.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44"/>
      <c r="M449" s="16"/>
      <c r="N449" s="40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2.75" x14ac:dyDescent="0.2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44"/>
      <c r="M450" s="16"/>
      <c r="N450" s="40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2.75" x14ac:dyDescent="0.2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44"/>
      <c r="M451" s="16"/>
      <c r="N451" s="40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2.75" x14ac:dyDescent="0.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44"/>
      <c r="M452" s="16"/>
      <c r="N452" s="40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2.75" x14ac:dyDescent="0.2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44"/>
      <c r="M453" s="16"/>
      <c r="N453" s="40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2.75" x14ac:dyDescent="0.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44"/>
      <c r="M454" s="16"/>
      <c r="N454" s="40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2.75" x14ac:dyDescent="0.2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44"/>
      <c r="M455" s="16"/>
      <c r="N455" s="40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2.75" x14ac:dyDescent="0.2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44"/>
      <c r="M456" s="16"/>
      <c r="N456" s="40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2.75" x14ac:dyDescent="0.2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44"/>
      <c r="M457" s="16"/>
      <c r="N457" s="40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2.75" x14ac:dyDescent="0.2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44"/>
      <c r="M458" s="16"/>
      <c r="N458" s="40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2.75" x14ac:dyDescent="0.2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44"/>
      <c r="M459" s="16"/>
      <c r="N459" s="40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2.75" x14ac:dyDescent="0.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44"/>
      <c r="M460" s="16"/>
      <c r="N460" s="40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2.75" x14ac:dyDescent="0.2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44"/>
      <c r="M461" s="16"/>
      <c r="N461" s="40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2.75" x14ac:dyDescent="0.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44"/>
      <c r="M462" s="16"/>
      <c r="N462" s="40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2.75" x14ac:dyDescent="0.2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44"/>
      <c r="M463" s="16"/>
      <c r="N463" s="40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2.75" x14ac:dyDescent="0.2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44"/>
      <c r="M464" s="16"/>
      <c r="N464" s="40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2.75" x14ac:dyDescent="0.2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44"/>
      <c r="M465" s="16"/>
      <c r="N465" s="40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2.75" x14ac:dyDescent="0.2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44"/>
      <c r="M466" s="16"/>
      <c r="N466" s="40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2.75" x14ac:dyDescent="0.2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44"/>
      <c r="M467" s="16"/>
      <c r="N467" s="40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2.75" x14ac:dyDescent="0.2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44"/>
      <c r="M468" s="16"/>
      <c r="N468" s="40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2.75" x14ac:dyDescent="0.2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44"/>
      <c r="M469" s="16"/>
      <c r="N469" s="40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2.75" x14ac:dyDescent="0.2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44"/>
      <c r="M470" s="16"/>
      <c r="N470" s="40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2.75" x14ac:dyDescent="0.2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44"/>
      <c r="M471" s="16"/>
      <c r="N471" s="40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2.75" x14ac:dyDescent="0.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44"/>
      <c r="M472" s="16"/>
      <c r="N472" s="40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2.75" x14ac:dyDescent="0.2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44"/>
      <c r="M473" s="16"/>
      <c r="N473" s="40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2.75" x14ac:dyDescent="0.2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44"/>
      <c r="M474" s="16"/>
      <c r="N474" s="40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2.75" x14ac:dyDescent="0.2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44"/>
      <c r="M475" s="16"/>
      <c r="N475" s="40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2.75" x14ac:dyDescent="0.2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44"/>
      <c r="M476" s="16"/>
      <c r="N476" s="40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2.75" x14ac:dyDescent="0.2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44"/>
      <c r="M477" s="16"/>
      <c r="N477" s="40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2.75" x14ac:dyDescent="0.2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44"/>
      <c r="M478" s="16"/>
      <c r="N478" s="40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2.75" x14ac:dyDescent="0.2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44"/>
      <c r="M479" s="16"/>
      <c r="N479" s="40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2.75" x14ac:dyDescent="0.2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44"/>
      <c r="M480" s="16"/>
      <c r="N480" s="40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2.75" x14ac:dyDescent="0.2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44"/>
      <c r="M481" s="16"/>
      <c r="N481" s="40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2.75" x14ac:dyDescent="0.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44"/>
      <c r="M482" s="16"/>
      <c r="N482" s="40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2.75" x14ac:dyDescent="0.2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44"/>
      <c r="M483" s="16"/>
      <c r="N483" s="40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2.75" x14ac:dyDescent="0.2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44"/>
      <c r="M484" s="16"/>
      <c r="N484" s="40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2.75" x14ac:dyDescent="0.2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44"/>
      <c r="M485" s="16"/>
      <c r="N485" s="40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2.75" x14ac:dyDescent="0.2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44"/>
      <c r="M486" s="16"/>
      <c r="N486" s="40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2.75" x14ac:dyDescent="0.2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44"/>
      <c r="M487" s="16"/>
      <c r="N487" s="40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2.75" x14ac:dyDescent="0.2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44"/>
      <c r="M488" s="16"/>
      <c r="N488" s="40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2.75" x14ac:dyDescent="0.2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44"/>
      <c r="M489" s="16"/>
      <c r="N489" s="40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2.75" x14ac:dyDescent="0.2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44"/>
      <c r="M490" s="16"/>
      <c r="N490" s="40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2.75" x14ac:dyDescent="0.2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44"/>
      <c r="M491" s="16"/>
      <c r="N491" s="40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2.75" x14ac:dyDescent="0.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44"/>
      <c r="M492" s="16"/>
      <c r="N492" s="40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2.75" x14ac:dyDescent="0.2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44"/>
      <c r="M493" s="16"/>
      <c r="N493" s="40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2.75" x14ac:dyDescent="0.2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44"/>
      <c r="M494" s="16"/>
      <c r="N494" s="40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2.75" x14ac:dyDescent="0.2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44"/>
      <c r="M495" s="16"/>
      <c r="N495" s="40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2.75" x14ac:dyDescent="0.2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44"/>
      <c r="M496" s="16"/>
      <c r="N496" s="40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2.75" x14ac:dyDescent="0.2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44"/>
      <c r="M497" s="16"/>
      <c r="N497" s="40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2.75" x14ac:dyDescent="0.2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44"/>
      <c r="M498" s="16"/>
      <c r="N498" s="40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2.75" x14ac:dyDescent="0.2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44"/>
      <c r="M499" s="16"/>
      <c r="N499" s="40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2.75" x14ac:dyDescent="0.2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44"/>
      <c r="M500" s="16"/>
      <c r="N500" s="40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2.75" x14ac:dyDescent="0.2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44"/>
      <c r="M501" s="16"/>
      <c r="N501" s="40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2.75" x14ac:dyDescent="0.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44"/>
      <c r="M502" s="16"/>
      <c r="N502" s="40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2.75" x14ac:dyDescent="0.2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44"/>
      <c r="M503" s="16"/>
      <c r="N503" s="40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2.75" x14ac:dyDescent="0.2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44"/>
      <c r="M504" s="16"/>
      <c r="N504" s="40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2.75" x14ac:dyDescent="0.2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44"/>
      <c r="M505" s="16"/>
      <c r="N505" s="40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2.75" x14ac:dyDescent="0.2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44"/>
      <c r="M506" s="16"/>
      <c r="N506" s="40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2.75" x14ac:dyDescent="0.2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44"/>
      <c r="M507" s="16"/>
      <c r="N507" s="40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2.75" x14ac:dyDescent="0.2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44"/>
      <c r="M508" s="16"/>
      <c r="N508" s="40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2.75" x14ac:dyDescent="0.2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44"/>
      <c r="M509" s="16"/>
      <c r="N509" s="40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2.75" x14ac:dyDescent="0.2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44"/>
      <c r="M510" s="16"/>
      <c r="N510" s="40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2.75" x14ac:dyDescent="0.2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44"/>
      <c r="M511" s="16"/>
      <c r="N511" s="40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2.75" x14ac:dyDescent="0.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44"/>
      <c r="M512" s="16"/>
      <c r="N512" s="40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2.75" x14ac:dyDescent="0.2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44"/>
      <c r="M513" s="16"/>
      <c r="N513" s="40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2.75" x14ac:dyDescent="0.2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44"/>
      <c r="M514" s="16"/>
      <c r="N514" s="40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2.75" x14ac:dyDescent="0.2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44"/>
      <c r="M515" s="16"/>
      <c r="N515" s="40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2.75" x14ac:dyDescent="0.2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44"/>
      <c r="M516" s="16"/>
      <c r="N516" s="40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2.75" x14ac:dyDescent="0.2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44"/>
      <c r="M517" s="16"/>
      <c r="N517" s="40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2.75" x14ac:dyDescent="0.2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44"/>
      <c r="M518" s="16"/>
      <c r="N518" s="40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2.75" x14ac:dyDescent="0.2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44"/>
      <c r="M519" s="16"/>
      <c r="N519" s="40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2.75" x14ac:dyDescent="0.2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44"/>
      <c r="M520" s="16"/>
      <c r="N520" s="40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2.75" x14ac:dyDescent="0.2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44"/>
      <c r="M521" s="16"/>
      <c r="N521" s="40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2.75" x14ac:dyDescent="0.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44"/>
      <c r="M522" s="16"/>
      <c r="N522" s="40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2.75" x14ac:dyDescent="0.2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44"/>
      <c r="M523" s="16"/>
      <c r="N523" s="40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2.75" x14ac:dyDescent="0.2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44"/>
      <c r="M524" s="16"/>
      <c r="N524" s="40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2.75" x14ac:dyDescent="0.2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44"/>
      <c r="M525" s="16"/>
      <c r="N525" s="40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2.75" x14ac:dyDescent="0.2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44"/>
      <c r="M526" s="16"/>
      <c r="N526" s="40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2.75" x14ac:dyDescent="0.2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44"/>
      <c r="M527" s="16"/>
      <c r="N527" s="40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2.75" x14ac:dyDescent="0.2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44"/>
      <c r="M528" s="16"/>
      <c r="N528" s="40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2.75" x14ac:dyDescent="0.2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44"/>
      <c r="M529" s="16"/>
      <c r="N529" s="40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2.75" x14ac:dyDescent="0.2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44"/>
      <c r="M530" s="16"/>
      <c r="N530" s="40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2.75" x14ac:dyDescent="0.2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44"/>
      <c r="M531" s="16"/>
      <c r="N531" s="40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2.75" x14ac:dyDescent="0.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44"/>
      <c r="M532" s="16"/>
      <c r="N532" s="40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2.75" x14ac:dyDescent="0.2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44"/>
      <c r="M533" s="16"/>
      <c r="N533" s="40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2.75" x14ac:dyDescent="0.2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44"/>
      <c r="M534" s="16"/>
      <c r="N534" s="40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2.75" x14ac:dyDescent="0.2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44"/>
      <c r="M535" s="16"/>
      <c r="N535" s="40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2.75" x14ac:dyDescent="0.2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44"/>
      <c r="M536" s="16"/>
      <c r="N536" s="40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2.75" x14ac:dyDescent="0.2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44"/>
      <c r="M537" s="16"/>
      <c r="N537" s="40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2.75" x14ac:dyDescent="0.2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44"/>
      <c r="M538" s="16"/>
      <c r="N538" s="40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2.75" x14ac:dyDescent="0.2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44"/>
      <c r="M539" s="16"/>
      <c r="N539" s="40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2.75" x14ac:dyDescent="0.2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44"/>
      <c r="M540" s="16"/>
      <c r="N540" s="40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2.75" x14ac:dyDescent="0.2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44"/>
      <c r="M541" s="16"/>
      <c r="N541" s="40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2.75" x14ac:dyDescent="0.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44"/>
      <c r="M542" s="16"/>
      <c r="N542" s="40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2.75" x14ac:dyDescent="0.2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44"/>
      <c r="M543" s="16"/>
      <c r="N543" s="40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2.75" x14ac:dyDescent="0.2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44"/>
      <c r="M544" s="16"/>
      <c r="N544" s="40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2.75" x14ac:dyDescent="0.2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44"/>
      <c r="M545" s="16"/>
      <c r="N545" s="40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2.75" x14ac:dyDescent="0.2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44"/>
      <c r="M546" s="16"/>
      <c r="N546" s="40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2.75" x14ac:dyDescent="0.2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44"/>
      <c r="M547" s="16"/>
      <c r="N547" s="40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2.75" x14ac:dyDescent="0.2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44"/>
      <c r="M548" s="16"/>
      <c r="N548" s="40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2.75" x14ac:dyDescent="0.2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44"/>
      <c r="M549" s="16"/>
      <c r="N549" s="40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2.75" x14ac:dyDescent="0.2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44"/>
      <c r="M550" s="16"/>
      <c r="N550" s="40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2.75" x14ac:dyDescent="0.2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44"/>
      <c r="M551" s="16"/>
      <c r="N551" s="40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2.75" x14ac:dyDescent="0.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44"/>
      <c r="M552" s="16"/>
      <c r="N552" s="40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2.75" x14ac:dyDescent="0.2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44"/>
      <c r="M553" s="16"/>
      <c r="N553" s="40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2.75" x14ac:dyDescent="0.2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44"/>
      <c r="M554" s="16"/>
      <c r="N554" s="40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2.75" x14ac:dyDescent="0.2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44"/>
      <c r="M555" s="16"/>
      <c r="N555" s="40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2.75" x14ac:dyDescent="0.2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44"/>
      <c r="M556" s="16"/>
      <c r="N556" s="40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2.75" x14ac:dyDescent="0.2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44"/>
      <c r="M557" s="16"/>
      <c r="N557" s="40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2.75" x14ac:dyDescent="0.2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44"/>
      <c r="M558" s="16"/>
      <c r="N558" s="40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2.75" x14ac:dyDescent="0.2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44"/>
      <c r="M559" s="16"/>
      <c r="N559" s="40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2.75" x14ac:dyDescent="0.2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44"/>
      <c r="M560" s="16"/>
      <c r="N560" s="40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2.75" x14ac:dyDescent="0.2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44"/>
      <c r="M561" s="16"/>
      <c r="N561" s="40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2.75" x14ac:dyDescent="0.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44"/>
      <c r="M562" s="16"/>
      <c r="N562" s="40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2.75" x14ac:dyDescent="0.2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44"/>
      <c r="M563" s="16"/>
      <c r="N563" s="40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2.75" x14ac:dyDescent="0.2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44"/>
      <c r="M564" s="16"/>
      <c r="N564" s="40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2.75" x14ac:dyDescent="0.2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44"/>
      <c r="M565" s="16"/>
      <c r="N565" s="40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2.75" x14ac:dyDescent="0.2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44"/>
      <c r="M566" s="16"/>
      <c r="N566" s="40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2.75" x14ac:dyDescent="0.2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44"/>
      <c r="M567" s="16"/>
      <c r="N567" s="40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2.75" x14ac:dyDescent="0.2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44"/>
      <c r="M568" s="16"/>
      <c r="N568" s="40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2.75" x14ac:dyDescent="0.2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44"/>
      <c r="M569" s="16"/>
      <c r="N569" s="40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2.75" x14ac:dyDescent="0.2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44"/>
      <c r="M570" s="16"/>
      <c r="N570" s="40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2.75" x14ac:dyDescent="0.2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44"/>
      <c r="M571" s="16"/>
      <c r="N571" s="40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2.75" x14ac:dyDescent="0.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44"/>
      <c r="M572" s="16"/>
      <c r="N572" s="40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2.75" x14ac:dyDescent="0.2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44"/>
      <c r="M573" s="16"/>
      <c r="N573" s="40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2.75" x14ac:dyDescent="0.2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44"/>
      <c r="M574" s="16"/>
      <c r="N574" s="40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2.75" x14ac:dyDescent="0.2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44"/>
      <c r="M575" s="16"/>
      <c r="N575" s="40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2.75" x14ac:dyDescent="0.2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44"/>
      <c r="M576" s="16"/>
      <c r="N576" s="40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2.75" x14ac:dyDescent="0.2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44"/>
      <c r="M577" s="16"/>
      <c r="N577" s="40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2.75" x14ac:dyDescent="0.2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44"/>
      <c r="M578" s="16"/>
      <c r="N578" s="40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2.75" x14ac:dyDescent="0.2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44"/>
      <c r="M579" s="16"/>
      <c r="N579" s="40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2.75" x14ac:dyDescent="0.2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44"/>
      <c r="M580" s="16"/>
      <c r="N580" s="40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2.75" x14ac:dyDescent="0.2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44"/>
      <c r="M581" s="16"/>
      <c r="N581" s="40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2.75" x14ac:dyDescent="0.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44"/>
      <c r="M582" s="16"/>
      <c r="N582" s="40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2.75" x14ac:dyDescent="0.2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44"/>
      <c r="M583" s="16"/>
      <c r="N583" s="40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2.75" x14ac:dyDescent="0.2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44"/>
      <c r="M584" s="16"/>
      <c r="N584" s="40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2.75" x14ac:dyDescent="0.2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44"/>
      <c r="M585" s="16"/>
      <c r="N585" s="40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2.75" x14ac:dyDescent="0.2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44"/>
      <c r="M586" s="16"/>
      <c r="N586" s="40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2.75" x14ac:dyDescent="0.2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44"/>
      <c r="M587" s="16"/>
      <c r="N587" s="40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2.75" x14ac:dyDescent="0.2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44"/>
      <c r="M588" s="16"/>
      <c r="N588" s="40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2.75" x14ac:dyDescent="0.2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44"/>
      <c r="M589" s="16"/>
      <c r="N589" s="40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2.75" x14ac:dyDescent="0.2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44"/>
      <c r="M590" s="16"/>
      <c r="N590" s="40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2.75" x14ac:dyDescent="0.2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44"/>
      <c r="M591" s="16"/>
      <c r="N591" s="40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2.75" x14ac:dyDescent="0.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44"/>
      <c r="M592" s="16"/>
      <c r="N592" s="40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2.75" x14ac:dyDescent="0.2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44"/>
      <c r="M593" s="16"/>
      <c r="N593" s="40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2.75" x14ac:dyDescent="0.2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44"/>
      <c r="M594" s="16"/>
      <c r="N594" s="40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2.75" x14ac:dyDescent="0.2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44"/>
      <c r="M595" s="16"/>
      <c r="N595" s="40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2.75" x14ac:dyDescent="0.2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44"/>
      <c r="M596" s="16"/>
      <c r="N596" s="40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2.75" x14ac:dyDescent="0.2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44"/>
      <c r="M597" s="16"/>
      <c r="N597" s="40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2.75" x14ac:dyDescent="0.2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44"/>
      <c r="M598" s="16"/>
      <c r="N598" s="40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2.75" x14ac:dyDescent="0.2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44"/>
      <c r="M599" s="16"/>
      <c r="N599" s="40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2.75" x14ac:dyDescent="0.2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44"/>
      <c r="M600" s="16"/>
      <c r="N600" s="40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2.75" x14ac:dyDescent="0.2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44"/>
      <c r="M601" s="16"/>
      <c r="N601" s="40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2.75" x14ac:dyDescent="0.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44"/>
      <c r="M602" s="16"/>
      <c r="N602" s="40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2.75" x14ac:dyDescent="0.2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44"/>
      <c r="M603" s="16"/>
      <c r="N603" s="40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2.75" x14ac:dyDescent="0.2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44"/>
      <c r="M604" s="16"/>
      <c r="N604" s="40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2.75" x14ac:dyDescent="0.2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44"/>
      <c r="M605" s="16"/>
      <c r="N605" s="40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2.75" x14ac:dyDescent="0.2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44"/>
      <c r="M606" s="16"/>
      <c r="N606" s="40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2.75" x14ac:dyDescent="0.2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44"/>
      <c r="M607" s="16"/>
      <c r="N607" s="40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2.75" x14ac:dyDescent="0.2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44"/>
      <c r="M608" s="16"/>
      <c r="N608" s="40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2.75" x14ac:dyDescent="0.2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44"/>
      <c r="M609" s="16"/>
      <c r="N609" s="40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2.75" x14ac:dyDescent="0.2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44"/>
      <c r="M610" s="16"/>
      <c r="N610" s="40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2.75" x14ac:dyDescent="0.2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44"/>
      <c r="M611" s="16"/>
      <c r="N611" s="40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2.75" x14ac:dyDescent="0.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44"/>
      <c r="M612" s="16"/>
      <c r="N612" s="40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2.75" x14ac:dyDescent="0.2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44"/>
      <c r="M613" s="16"/>
      <c r="N613" s="40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2.75" x14ac:dyDescent="0.2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44"/>
      <c r="M614" s="16"/>
      <c r="N614" s="40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2.75" x14ac:dyDescent="0.2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44"/>
      <c r="M615" s="16"/>
      <c r="N615" s="40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2.75" x14ac:dyDescent="0.2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44"/>
      <c r="M616" s="16"/>
      <c r="N616" s="40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2.75" x14ac:dyDescent="0.2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44"/>
      <c r="M617" s="16"/>
      <c r="N617" s="40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2.75" x14ac:dyDescent="0.2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44"/>
      <c r="M618" s="16"/>
      <c r="N618" s="40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2.75" x14ac:dyDescent="0.2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44"/>
      <c r="M619" s="16"/>
      <c r="N619" s="40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2.75" x14ac:dyDescent="0.2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44"/>
      <c r="M620" s="16"/>
      <c r="N620" s="40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2.75" x14ac:dyDescent="0.2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44"/>
      <c r="M621" s="16"/>
      <c r="N621" s="40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2.75" x14ac:dyDescent="0.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44"/>
      <c r="M622" s="16"/>
      <c r="N622" s="40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2.75" x14ac:dyDescent="0.2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44"/>
      <c r="M623" s="16"/>
      <c r="N623" s="40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2.75" x14ac:dyDescent="0.2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44"/>
      <c r="M624" s="16"/>
      <c r="N624" s="40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2.75" x14ac:dyDescent="0.2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44"/>
      <c r="M625" s="16"/>
      <c r="N625" s="40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2.75" x14ac:dyDescent="0.2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44"/>
      <c r="M626" s="16"/>
      <c r="N626" s="40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2.75" x14ac:dyDescent="0.2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44"/>
      <c r="M627" s="16"/>
      <c r="N627" s="40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2.75" x14ac:dyDescent="0.2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44"/>
      <c r="M628" s="16"/>
      <c r="N628" s="40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2.75" x14ac:dyDescent="0.2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44"/>
      <c r="M629" s="16"/>
      <c r="N629" s="40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2.75" x14ac:dyDescent="0.2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44"/>
      <c r="M630" s="16"/>
      <c r="N630" s="40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2.75" x14ac:dyDescent="0.2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44"/>
      <c r="M631" s="16"/>
      <c r="N631" s="40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2.75" x14ac:dyDescent="0.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44"/>
      <c r="M632" s="16"/>
      <c r="N632" s="40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2.75" x14ac:dyDescent="0.2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44"/>
      <c r="M633" s="16"/>
      <c r="N633" s="40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2.75" x14ac:dyDescent="0.2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44"/>
      <c r="M634" s="16"/>
      <c r="N634" s="40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2.75" x14ac:dyDescent="0.2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44"/>
      <c r="M635" s="16"/>
      <c r="N635" s="40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2.75" x14ac:dyDescent="0.2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44"/>
      <c r="M636" s="16"/>
      <c r="N636" s="40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2.75" x14ac:dyDescent="0.2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44"/>
      <c r="M637" s="16"/>
      <c r="N637" s="40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2.75" x14ac:dyDescent="0.2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44"/>
      <c r="M638" s="16"/>
      <c r="N638" s="40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2.75" x14ac:dyDescent="0.2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44"/>
      <c r="M639" s="16"/>
      <c r="N639" s="40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2.75" x14ac:dyDescent="0.2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44"/>
      <c r="M640" s="16"/>
      <c r="N640" s="40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2.75" x14ac:dyDescent="0.2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44"/>
      <c r="M641" s="16"/>
      <c r="N641" s="40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2.75" x14ac:dyDescent="0.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44"/>
      <c r="M642" s="16"/>
      <c r="N642" s="40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2.75" x14ac:dyDescent="0.2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44"/>
      <c r="M643" s="16"/>
      <c r="N643" s="40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2.75" x14ac:dyDescent="0.2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44"/>
      <c r="M644" s="16"/>
      <c r="N644" s="40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2.75" x14ac:dyDescent="0.2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44"/>
      <c r="M645" s="16"/>
      <c r="N645" s="40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2.75" x14ac:dyDescent="0.2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44"/>
      <c r="M646" s="16"/>
      <c r="N646" s="40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2.75" x14ac:dyDescent="0.2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44"/>
      <c r="M647" s="16"/>
      <c r="N647" s="40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2.75" x14ac:dyDescent="0.2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44"/>
      <c r="M648" s="16"/>
      <c r="N648" s="40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2.75" x14ac:dyDescent="0.2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44"/>
      <c r="M649" s="16"/>
      <c r="N649" s="40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2.75" x14ac:dyDescent="0.2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44"/>
      <c r="M650" s="16"/>
      <c r="N650" s="40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2.75" x14ac:dyDescent="0.2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44"/>
      <c r="M651" s="16"/>
      <c r="N651" s="40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2.75" x14ac:dyDescent="0.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44"/>
      <c r="M652" s="16"/>
      <c r="N652" s="40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2.75" x14ac:dyDescent="0.2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44"/>
      <c r="M653" s="16"/>
      <c r="N653" s="40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2.75" x14ac:dyDescent="0.2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44"/>
      <c r="M654" s="16"/>
      <c r="N654" s="40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2.75" x14ac:dyDescent="0.2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44"/>
      <c r="M655" s="16"/>
      <c r="N655" s="40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2.75" x14ac:dyDescent="0.2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44"/>
      <c r="M656" s="16"/>
      <c r="N656" s="40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2.75" x14ac:dyDescent="0.2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44"/>
      <c r="M657" s="16"/>
      <c r="N657" s="40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2.75" x14ac:dyDescent="0.2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44"/>
      <c r="M658" s="16"/>
      <c r="N658" s="40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2.75" x14ac:dyDescent="0.2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44"/>
      <c r="M659" s="16"/>
      <c r="N659" s="40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2.75" x14ac:dyDescent="0.2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44"/>
      <c r="M660" s="16"/>
      <c r="N660" s="40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2.75" x14ac:dyDescent="0.2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44"/>
      <c r="M661" s="16"/>
      <c r="N661" s="40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2.75" x14ac:dyDescent="0.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44"/>
      <c r="M662" s="16"/>
      <c r="N662" s="40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2.75" x14ac:dyDescent="0.2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44"/>
      <c r="M663" s="16"/>
      <c r="N663" s="40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2.75" x14ac:dyDescent="0.2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44"/>
      <c r="M664" s="16"/>
      <c r="N664" s="40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2.75" x14ac:dyDescent="0.2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44"/>
      <c r="M665" s="16"/>
      <c r="N665" s="40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2.75" x14ac:dyDescent="0.2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44"/>
      <c r="M666" s="16"/>
      <c r="N666" s="40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2.75" x14ac:dyDescent="0.2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44"/>
      <c r="M667" s="16"/>
      <c r="N667" s="40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2.75" x14ac:dyDescent="0.2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44"/>
      <c r="M668" s="16"/>
      <c r="N668" s="40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2.75" x14ac:dyDescent="0.2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44"/>
      <c r="M669" s="16"/>
      <c r="N669" s="40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2.75" x14ac:dyDescent="0.2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44"/>
      <c r="M670" s="16"/>
      <c r="N670" s="40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2.75" x14ac:dyDescent="0.2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44"/>
      <c r="M671" s="16"/>
      <c r="N671" s="40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2.75" x14ac:dyDescent="0.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44"/>
      <c r="M672" s="16"/>
      <c r="N672" s="40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2.75" x14ac:dyDescent="0.2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44"/>
      <c r="M673" s="16"/>
      <c r="N673" s="40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2.75" x14ac:dyDescent="0.2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44"/>
      <c r="M674" s="16"/>
      <c r="N674" s="40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2.75" x14ac:dyDescent="0.2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44"/>
      <c r="M675" s="16"/>
      <c r="N675" s="40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2.75" x14ac:dyDescent="0.2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44"/>
      <c r="M676" s="16"/>
      <c r="N676" s="40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2.75" x14ac:dyDescent="0.2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44"/>
      <c r="M677" s="16"/>
      <c r="N677" s="40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2.75" x14ac:dyDescent="0.2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44"/>
      <c r="M678" s="16"/>
      <c r="N678" s="40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2.75" x14ac:dyDescent="0.2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44"/>
      <c r="M679" s="16"/>
      <c r="N679" s="40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2.75" x14ac:dyDescent="0.2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44"/>
      <c r="M680" s="16"/>
      <c r="N680" s="40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2.75" x14ac:dyDescent="0.2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44"/>
      <c r="M681" s="16"/>
      <c r="N681" s="40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2.75" x14ac:dyDescent="0.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44"/>
      <c r="M682" s="16"/>
      <c r="N682" s="40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2.75" x14ac:dyDescent="0.2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44"/>
      <c r="M683" s="16"/>
      <c r="N683" s="40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2.75" x14ac:dyDescent="0.2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44"/>
      <c r="M684" s="16"/>
      <c r="N684" s="40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2.75" x14ac:dyDescent="0.2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44"/>
      <c r="M685" s="16"/>
      <c r="N685" s="40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2.75" x14ac:dyDescent="0.2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44"/>
      <c r="M686" s="16"/>
      <c r="N686" s="40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2.75" x14ac:dyDescent="0.2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44"/>
      <c r="M687" s="16"/>
      <c r="N687" s="40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2.75" x14ac:dyDescent="0.2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44"/>
      <c r="M688" s="16"/>
      <c r="N688" s="40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2.75" x14ac:dyDescent="0.2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44"/>
      <c r="M689" s="16"/>
      <c r="N689" s="40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2.75" x14ac:dyDescent="0.2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44"/>
      <c r="M690" s="16"/>
      <c r="N690" s="40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2.75" x14ac:dyDescent="0.2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44"/>
      <c r="M691" s="16"/>
      <c r="N691" s="40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2.75" x14ac:dyDescent="0.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44"/>
      <c r="M692" s="16"/>
      <c r="N692" s="40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2.75" x14ac:dyDescent="0.2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44"/>
      <c r="M693" s="16"/>
      <c r="N693" s="40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2.75" x14ac:dyDescent="0.2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44"/>
      <c r="M694" s="16"/>
      <c r="N694" s="40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2.75" x14ac:dyDescent="0.2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44"/>
      <c r="M695" s="16"/>
      <c r="N695" s="40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2.75" x14ac:dyDescent="0.2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44"/>
      <c r="M696" s="16"/>
      <c r="N696" s="40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2.75" x14ac:dyDescent="0.2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44"/>
      <c r="M697" s="16"/>
      <c r="N697" s="40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2.75" x14ac:dyDescent="0.2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44"/>
      <c r="M698" s="16"/>
      <c r="N698" s="40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2.75" x14ac:dyDescent="0.2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44"/>
      <c r="M699" s="16"/>
      <c r="N699" s="40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2.75" x14ac:dyDescent="0.2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44"/>
      <c r="M700" s="16"/>
      <c r="N700" s="40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2.75" x14ac:dyDescent="0.2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44"/>
      <c r="M701" s="16"/>
      <c r="N701" s="40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2.75" x14ac:dyDescent="0.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44"/>
      <c r="M702" s="16"/>
      <c r="N702" s="40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2.75" x14ac:dyDescent="0.2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44"/>
      <c r="M703" s="16"/>
      <c r="N703" s="40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2.75" x14ac:dyDescent="0.2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44"/>
      <c r="M704" s="16"/>
      <c r="N704" s="40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2.75" x14ac:dyDescent="0.2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44"/>
      <c r="M705" s="16"/>
      <c r="N705" s="40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2.75" x14ac:dyDescent="0.2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44"/>
      <c r="M706" s="16"/>
      <c r="N706" s="40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2.75" x14ac:dyDescent="0.2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44"/>
      <c r="M707" s="16"/>
      <c r="N707" s="40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2.75" x14ac:dyDescent="0.2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44"/>
      <c r="M708" s="16"/>
      <c r="N708" s="40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2.75" x14ac:dyDescent="0.2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44"/>
      <c r="M709" s="16"/>
      <c r="N709" s="40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2.75" x14ac:dyDescent="0.2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44"/>
      <c r="M710" s="16"/>
      <c r="N710" s="40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2.75" x14ac:dyDescent="0.2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44"/>
      <c r="M711" s="16"/>
      <c r="N711" s="40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2.75" x14ac:dyDescent="0.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44"/>
      <c r="M712" s="16"/>
      <c r="N712" s="40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2.75" x14ac:dyDescent="0.2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44"/>
      <c r="M713" s="16"/>
      <c r="N713" s="40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2.75" x14ac:dyDescent="0.2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44"/>
      <c r="M714" s="16"/>
      <c r="N714" s="40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2.75" x14ac:dyDescent="0.2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44"/>
      <c r="M715" s="16"/>
      <c r="N715" s="40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2.75" x14ac:dyDescent="0.2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44"/>
      <c r="M716" s="16"/>
      <c r="N716" s="40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2.75" x14ac:dyDescent="0.2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44"/>
      <c r="M717" s="16"/>
      <c r="N717" s="40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2.75" x14ac:dyDescent="0.2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44"/>
      <c r="M718" s="16"/>
      <c r="N718" s="40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2.75" x14ac:dyDescent="0.2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44"/>
      <c r="M719" s="16"/>
      <c r="N719" s="40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2.75" x14ac:dyDescent="0.2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44"/>
      <c r="M720" s="16"/>
      <c r="N720" s="40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2.75" x14ac:dyDescent="0.2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44"/>
      <c r="M721" s="16"/>
      <c r="N721" s="40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2.75" x14ac:dyDescent="0.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44"/>
      <c r="M722" s="16"/>
      <c r="N722" s="40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2.75" x14ac:dyDescent="0.2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44"/>
      <c r="M723" s="16"/>
      <c r="N723" s="40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2.75" x14ac:dyDescent="0.2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44"/>
      <c r="M724" s="16"/>
      <c r="N724" s="40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2.75" x14ac:dyDescent="0.2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44"/>
      <c r="M725" s="16"/>
      <c r="N725" s="40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2.75" x14ac:dyDescent="0.2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44"/>
      <c r="M726" s="16"/>
      <c r="N726" s="40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2.75" x14ac:dyDescent="0.2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44"/>
      <c r="M727" s="16"/>
      <c r="N727" s="40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2.75" x14ac:dyDescent="0.2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44"/>
      <c r="M728" s="16"/>
      <c r="N728" s="40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2.75" x14ac:dyDescent="0.2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44"/>
      <c r="M729" s="16"/>
      <c r="N729" s="40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2.75" x14ac:dyDescent="0.2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44"/>
      <c r="M730" s="16"/>
      <c r="N730" s="40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2.75" x14ac:dyDescent="0.2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44"/>
      <c r="M731" s="16"/>
      <c r="N731" s="40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2.75" x14ac:dyDescent="0.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44"/>
      <c r="M732" s="16"/>
      <c r="N732" s="40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2.75" x14ac:dyDescent="0.2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44"/>
      <c r="M733" s="16"/>
      <c r="N733" s="40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2.75" x14ac:dyDescent="0.2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44"/>
      <c r="M734" s="16"/>
      <c r="N734" s="40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2.75" x14ac:dyDescent="0.2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44"/>
      <c r="M735" s="16"/>
      <c r="N735" s="40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2.75" x14ac:dyDescent="0.2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44"/>
      <c r="M736" s="16"/>
      <c r="N736" s="40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2.75" x14ac:dyDescent="0.2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44"/>
      <c r="M737" s="16"/>
      <c r="N737" s="40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2.75" x14ac:dyDescent="0.2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44"/>
      <c r="M738" s="16"/>
      <c r="N738" s="40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2.75" x14ac:dyDescent="0.2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44"/>
      <c r="M739" s="16"/>
      <c r="N739" s="40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2.75" x14ac:dyDescent="0.2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44"/>
      <c r="M740" s="16"/>
      <c r="N740" s="40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2.75" x14ac:dyDescent="0.2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44"/>
      <c r="M741" s="16"/>
      <c r="N741" s="40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2.75" x14ac:dyDescent="0.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44"/>
      <c r="M742" s="16"/>
      <c r="N742" s="40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2.75" x14ac:dyDescent="0.2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44"/>
      <c r="M743" s="16"/>
      <c r="N743" s="40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2.75" x14ac:dyDescent="0.2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44"/>
      <c r="M744" s="16"/>
      <c r="N744" s="40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2.75" x14ac:dyDescent="0.2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44"/>
      <c r="M745" s="16"/>
      <c r="N745" s="40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2.75" x14ac:dyDescent="0.2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44"/>
      <c r="M746" s="16"/>
      <c r="N746" s="40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2.75" x14ac:dyDescent="0.2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44"/>
      <c r="M747" s="16"/>
      <c r="N747" s="40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2.75" x14ac:dyDescent="0.2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44"/>
      <c r="M748" s="16"/>
      <c r="N748" s="40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2.75" x14ac:dyDescent="0.2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44"/>
      <c r="M749" s="16"/>
      <c r="N749" s="40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2.75" x14ac:dyDescent="0.2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44"/>
      <c r="M750" s="16"/>
      <c r="N750" s="40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2.75" x14ac:dyDescent="0.2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44"/>
      <c r="M751" s="16"/>
      <c r="N751" s="40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2.75" x14ac:dyDescent="0.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44"/>
      <c r="M752" s="16"/>
      <c r="N752" s="40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2.75" x14ac:dyDescent="0.2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44"/>
      <c r="M753" s="16"/>
      <c r="N753" s="40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2.75" x14ac:dyDescent="0.2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44"/>
      <c r="M754" s="16"/>
      <c r="N754" s="40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2.75" x14ac:dyDescent="0.2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44"/>
      <c r="M755" s="16"/>
      <c r="N755" s="40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2.75" x14ac:dyDescent="0.2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44"/>
      <c r="M756" s="16"/>
      <c r="N756" s="40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2.75" x14ac:dyDescent="0.2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44"/>
      <c r="M757" s="16"/>
      <c r="N757" s="40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2.75" x14ac:dyDescent="0.2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44"/>
      <c r="M758" s="16"/>
      <c r="N758" s="40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2.75" x14ac:dyDescent="0.2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44"/>
      <c r="M759" s="16"/>
      <c r="N759" s="40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2.75" x14ac:dyDescent="0.2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44"/>
      <c r="M760" s="16"/>
      <c r="N760" s="40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2.75" x14ac:dyDescent="0.2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44"/>
      <c r="M761" s="16"/>
      <c r="N761" s="40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2.75" x14ac:dyDescent="0.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44"/>
      <c r="M762" s="16"/>
      <c r="N762" s="40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2.75" x14ac:dyDescent="0.2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44"/>
      <c r="M763" s="16"/>
      <c r="N763" s="40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2.75" x14ac:dyDescent="0.2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44"/>
      <c r="M764" s="16"/>
      <c r="N764" s="40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2.75" x14ac:dyDescent="0.2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44"/>
      <c r="M765" s="16"/>
      <c r="N765" s="40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2.75" x14ac:dyDescent="0.2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44"/>
      <c r="M766" s="16"/>
      <c r="N766" s="40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2.75" x14ac:dyDescent="0.2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44"/>
      <c r="M767" s="16"/>
      <c r="N767" s="40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2.75" x14ac:dyDescent="0.2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44"/>
      <c r="M768" s="16"/>
      <c r="N768" s="40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2.75" x14ac:dyDescent="0.2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44"/>
      <c r="M769" s="16"/>
      <c r="N769" s="40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2.75" x14ac:dyDescent="0.2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44"/>
      <c r="M770" s="16"/>
      <c r="N770" s="40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2.75" x14ac:dyDescent="0.2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44"/>
      <c r="M771" s="16"/>
      <c r="N771" s="40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2.75" x14ac:dyDescent="0.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44"/>
      <c r="M772" s="16"/>
      <c r="N772" s="40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2.75" x14ac:dyDescent="0.2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44"/>
      <c r="M773" s="16"/>
      <c r="N773" s="40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2.75" x14ac:dyDescent="0.2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44"/>
      <c r="M774" s="16"/>
      <c r="N774" s="40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2.75" x14ac:dyDescent="0.2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44"/>
      <c r="M775" s="16"/>
      <c r="N775" s="40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2.75" x14ac:dyDescent="0.2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44"/>
      <c r="M776" s="16"/>
      <c r="N776" s="40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2.75" x14ac:dyDescent="0.2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44"/>
      <c r="M777" s="16"/>
      <c r="N777" s="40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2.75" x14ac:dyDescent="0.2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44"/>
      <c r="M778" s="16"/>
      <c r="N778" s="40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2.75" x14ac:dyDescent="0.2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44"/>
      <c r="M779" s="16"/>
      <c r="N779" s="40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2.75" x14ac:dyDescent="0.2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44"/>
      <c r="M780" s="16"/>
      <c r="N780" s="40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2.75" x14ac:dyDescent="0.2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44"/>
      <c r="M781" s="16"/>
      <c r="N781" s="40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2.75" x14ac:dyDescent="0.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44"/>
      <c r="M782" s="16"/>
      <c r="N782" s="40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2.75" x14ac:dyDescent="0.2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44"/>
      <c r="M783" s="16"/>
      <c r="N783" s="40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2.75" x14ac:dyDescent="0.2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44"/>
      <c r="M784" s="16"/>
      <c r="N784" s="40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2.75" x14ac:dyDescent="0.2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44"/>
      <c r="M785" s="16"/>
      <c r="N785" s="40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2.75" x14ac:dyDescent="0.2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44"/>
      <c r="M786" s="16"/>
      <c r="N786" s="40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2.75" x14ac:dyDescent="0.2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44"/>
      <c r="M787" s="16"/>
      <c r="N787" s="40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2.75" x14ac:dyDescent="0.2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44"/>
      <c r="M788" s="16"/>
      <c r="N788" s="40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2.75" x14ac:dyDescent="0.2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44"/>
      <c r="M789" s="16"/>
      <c r="N789" s="40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2.75" x14ac:dyDescent="0.2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44"/>
      <c r="M790" s="16"/>
      <c r="N790" s="40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2.75" x14ac:dyDescent="0.2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44"/>
      <c r="M791" s="16"/>
      <c r="N791" s="40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2.75" x14ac:dyDescent="0.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44"/>
      <c r="M792" s="16"/>
      <c r="N792" s="40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2.75" x14ac:dyDescent="0.2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44"/>
      <c r="M793" s="16"/>
      <c r="N793" s="40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2.75" x14ac:dyDescent="0.2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44"/>
      <c r="M794" s="16"/>
      <c r="N794" s="40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2.75" x14ac:dyDescent="0.2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44"/>
      <c r="M795" s="16"/>
      <c r="N795" s="40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2.75" x14ac:dyDescent="0.2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44"/>
      <c r="M796" s="16"/>
      <c r="N796" s="40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2.75" x14ac:dyDescent="0.2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44"/>
      <c r="M797" s="16"/>
      <c r="N797" s="40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2.75" x14ac:dyDescent="0.2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44"/>
      <c r="M798" s="16"/>
      <c r="N798" s="40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2.75" x14ac:dyDescent="0.2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44"/>
      <c r="M799" s="16"/>
      <c r="N799" s="40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2.75" x14ac:dyDescent="0.2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44"/>
      <c r="M800" s="16"/>
      <c r="N800" s="40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2.75" x14ac:dyDescent="0.2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44"/>
      <c r="M801" s="16"/>
      <c r="N801" s="40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2.75" x14ac:dyDescent="0.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44"/>
      <c r="M802" s="16"/>
      <c r="N802" s="40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2.75" x14ac:dyDescent="0.2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44"/>
      <c r="M803" s="16"/>
      <c r="N803" s="40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2.75" x14ac:dyDescent="0.2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44"/>
      <c r="M804" s="16"/>
      <c r="N804" s="40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2.75" x14ac:dyDescent="0.2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44"/>
      <c r="M805" s="16"/>
      <c r="N805" s="40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2.75" x14ac:dyDescent="0.2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44"/>
      <c r="M806" s="16"/>
      <c r="N806" s="40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2.75" x14ac:dyDescent="0.2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44"/>
      <c r="M807" s="16"/>
      <c r="N807" s="40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2.75" x14ac:dyDescent="0.2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44"/>
      <c r="M808" s="16"/>
      <c r="N808" s="40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2.75" x14ac:dyDescent="0.2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44"/>
      <c r="M809" s="16"/>
      <c r="N809" s="40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2.75" x14ac:dyDescent="0.2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44"/>
      <c r="M810" s="16"/>
      <c r="N810" s="40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2.75" x14ac:dyDescent="0.2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44"/>
      <c r="M811" s="16"/>
      <c r="N811" s="40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2.75" x14ac:dyDescent="0.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44"/>
      <c r="M812" s="16"/>
      <c r="N812" s="40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2.75" x14ac:dyDescent="0.2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44"/>
      <c r="M813" s="16"/>
      <c r="N813" s="40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2.75" x14ac:dyDescent="0.2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44"/>
      <c r="M814" s="16"/>
      <c r="N814" s="40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2.75" x14ac:dyDescent="0.2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44"/>
      <c r="M815" s="16"/>
      <c r="N815" s="40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2.75" x14ac:dyDescent="0.2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44"/>
      <c r="M816" s="16"/>
      <c r="N816" s="40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2.75" x14ac:dyDescent="0.2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44"/>
      <c r="M817" s="16"/>
      <c r="N817" s="40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2.75" x14ac:dyDescent="0.2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44"/>
      <c r="M818" s="16"/>
      <c r="N818" s="40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2.75" x14ac:dyDescent="0.2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44"/>
      <c r="M819" s="16"/>
      <c r="N819" s="40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2.75" x14ac:dyDescent="0.2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44"/>
      <c r="M820" s="16"/>
      <c r="N820" s="40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2.75" x14ac:dyDescent="0.2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44"/>
      <c r="M821" s="16"/>
      <c r="N821" s="40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2.75" x14ac:dyDescent="0.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44"/>
      <c r="M822" s="16"/>
      <c r="N822" s="40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2.75" x14ac:dyDescent="0.2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44"/>
      <c r="M823" s="16"/>
      <c r="N823" s="40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2.75" x14ac:dyDescent="0.2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44"/>
      <c r="M824" s="16"/>
      <c r="N824" s="40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2.75" x14ac:dyDescent="0.2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44"/>
      <c r="M825" s="16"/>
      <c r="N825" s="40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2.75" x14ac:dyDescent="0.2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44"/>
      <c r="M826" s="16"/>
      <c r="N826" s="40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2.75" x14ac:dyDescent="0.2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44"/>
      <c r="M827" s="16"/>
      <c r="N827" s="40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2.75" x14ac:dyDescent="0.2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44"/>
      <c r="M828" s="16"/>
      <c r="N828" s="40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2.75" x14ac:dyDescent="0.2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44"/>
      <c r="M829" s="16"/>
      <c r="N829" s="40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2.75" x14ac:dyDescent="0.2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44"/>
      <c r="M830" s="16"/>
      <c r="N830" s="40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2.75" x14ac:dyDescent="0.2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44"/>
      <c r="M831" s="16"/>
      <c r="N831" s="40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2.75" x14ac:dyDescent="0.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44"/>
      <c r="M832" s="16"/>
      <c r="N832" s="40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2.75" x14ac:dyDescent="0.2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44"/>
      <c r="M833" s="16"/>
      <c r="N833" s="40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2.75" x14ac:dyDescent="0.2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44"/>
      <c r="M834" s="16"/>
      <c r="N834" s="40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2.75" x14ac:dyDescent="0.2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44"/>
      <c r="M835" s="16"/>
      <c r="N835" s="40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2.75" x14ac:dyDescent="0.2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44"/>
      <c r="M836" s="16"/>
      <c r="N836" s="40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2.75" x14ac:dyDescent="0.2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44"/>
      <c r="M837" s="16"/>
      <c r="N837" s="40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2.75" x14ac:dyDescent="0.2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44"/>
      <c r="M838" s="16"/>
      <c r="N838" s="40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2.75" x14ac:dyDescent="0.2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44"/>
      <c r="M839" s="16"/>
      <c r="N839" s="40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2.75" x14ac:dyDescent="0.2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44"/>
      <c r="M840" s="16"/>
      <c r="N840" s="40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2.75" x14ac:dyDescent="0.2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44"/>
      <c r="M841" s="16"/>
      <c r="N841" s="40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2.75" x14ac:dyDescent="0.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44"/>
      <c r="M842" s="16"/>
      <c r="N842" s="40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2.75" x14ac:dyDescent="0.2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44"/>
      <c r="M843" s="16"/>
      <c r="N843" s="40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2.75" x14ac:dyDescent="0.2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44"/>
      <c r="M844" s="16"/>
      <c r="N844" s="40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2.75" x14ac:dyDescent="0.2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44"/>
      <c r="M845" s="16"/>
      <c r="N845" s="40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2.75" x14ac:dyDescent="0.2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44"/>
      <c r="M846" s="16"/>
      <c r="N846" s="40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2.75" x14ac:dyDescent="0.2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44"/>
      <c r="M847" s="16"/>
      <c r="N847" s="40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2.75" x14ac:dyDescent="0.2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44"/>
      <c r="M848" s="16"/>
      <c r="N848" s="40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2.75" x14ac:dyDescent="0.2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44"/>
      <c r="M849" s="16"/>
      <c r="N849" s="40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2.75" x14ac:dyDescent="0.2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44"/>
      <c r="M850" s="16"/>
      <c r="N850" s="40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2.75" x14ac:dyDescent="0.2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44"/>
      <c r="M851" s="16"/>
      <c r="N851" s="40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2.75" x14ac:dyDescent="0.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44"/>
      <c r="M852" s="16"/>
      <c r="N852" s="40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2.75" x14ac:dyDescent="0.2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44"/>
      <c r="M853" s="16"/>
      <c r="N853" s="40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2.75" x14ac:dyDescent="0.2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44"/>
      <c r="M854" s="16"/>
      <c r="N854" s="40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2.75" x14ac:dyDescent="0.2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44"/>
      <c r="M855" s="16"/>
      <c r="N855" s="40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2.75" x14ac:dyDescent="0.2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44"/>
      <c r="M856" s="16"/>
      <c r="N856" s="40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2.75" x14ac:dyDescent="0.2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44"/>
      <c r="M857" s="16"/>
      <c r="N857" s="40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2.75" x14ac:dyDescent="0.2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44"/>
      <c r="M858" s="16"/>
      <c r="N858" s="40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2.75" x14ac:dyDescent="0.2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44"/>
      <c r="M859" s="16"/>
      <c r="N859" s="40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2.75" x14ac:dyDescent="0.2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44"/>
      <c r="M860" s="16"/>
      <c r="N860" s="40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2.75" x14ac:dyDescent="0.2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44"/>
      <c r="M861" s="16"/>
      <c r="N861" s="40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2.75" x14ac:dyDescent="0.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44"/>
      <c r="M862" s="16"/>
      <c r="N862" s="40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2.75" x14ac:dyDescent="0.2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44"/>
      <c r="M863" s="16"/>
      <c r="N863" s="40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2.75" x14ac:dyDescent="0.2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44"/>
      <c r="M864" s="16"/>
      <c r="N864" s="40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2.75" x14ac:dyDescent="0.2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44"/>
      <c r="M865" s="16"/>
      <c r="N865" s="40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2.75" x14ac:dyDescent="0.2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44"/>
      <c r="M866" s="16"/>
      <c r="N866" s="40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2.75" x14ac:dyDescent="0.2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44"/>
      <c r="M867" s="16"/>
      <c r="N867" s="40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2.75" x14ac:dyDescent="0.2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44"/>
      <c r="M868" s="16"/>
      <c r="N868" s="40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2.75" x14ac:dyDescent="0.2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44"/>
      <c r="M869" s="16"/>
      <c r="N869" s="40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2.75" x14ac:dyDescent="0.2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44"/>
      <c r="M870" s="16"/>
      <c r="N870" s="40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2.75" x14ac:dyDescent="0.2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44"/>
      <c r="M871" s="16"/>
      <c r="N871" s="40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2.75" x14ac:dyDescent="0.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44"/>
      <c r="M872" s="16"/>
      <c r="N872" s="40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2.75" x14ac:dyDescent="0.2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44"/>
      <c r="M873" s="16"/>
      <c r="N873" s="40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2.75" x14ac:dyDescent="0.2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44"/>
      <c r="M874" s="16"/>
      <c r="N874" s="40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2.75" x14ac:dyDescent="0.2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44"/>
      <c r="M875" s="16"/>
      <c r="N875" s="40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2.75" x14ac:dyDescent="0.2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44"/>
      <c r="M876" s="16"/>
      <c r="N876" s="40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2.75" x14ac:dyDescent="0.2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44"/>
      <c r="M877" s="16"/>
      <c r="N877" s="40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2.75" x14ac:dyDescent="0.2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44"/>
      <c r="M878" s="16"/>
      <c r="N878" s="40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2.75" x14ac:dyDescent="0.2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44"/>
      <c r="M879" s="16"/>
      <c r="N879" s="40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2.75" x14ac:dyDescent="0.2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44"/>
      <c r="M880" s="16"/>
      <c r="N880" s="40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2.75" x14ac:dyDescent="0.2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44"/>
      <c r="M881" s="16"/>
      <c r="N881" s="40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2.75" x14ac:dyDescent="0.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44"/>
      <c r="M882" s="16"/>
      <c r="N882" s="40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2.75" x14ac:dyDescent="0.2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44"/>
      <c r="M883" s="16"/>
      <c r="N883" s="40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2.75" x14ac:dyDescent="0.2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44"/>
      <c r="M884" s="16"/>
      <c r="N884" s="40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2.75" x14ac:dyDescent="0.2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44"/>
      <c r="M885" s="16"/>
      <c r="N885" s="40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2.75" x14ac:dyDescent="0.2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44"/>
      <c r="M886" s="16"/>
      <c r="N886" s="40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2.75" x14ac:dyDescent="0.2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44"/>
      <c r="M887" s="16"/>
      <c r="N887" s="40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2.75" x14ac:dyDescent="0.2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44"/>
      <c r="M888" s="16"/>
      <c r="N888" s="40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2.75" x14ac:dyDescent="0.2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44"/>
      <c r="M889" s="16"/>
      <c r="N889" s="40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2.75" x14ac:dyDescent="0.2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44"/>
      <c r="M890" s="16"/>
      <c r="N890" s="40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2.75" x14ac:dyDescent="0.2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44"/>
      <c r="M891" s="16"/>
      <c r="N891" s="40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2.75" x14ac:dyDescent="0.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44"/>
      <c r="M892" s="16"/>
      <c r="N892" s="40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2.75" x14ac:dyDescent="0.2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44"/>
      <c r="M893" s="16"/>
      <c r="N893" s="40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2.75" x14ac:dyDescent="0.2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44"/>
      <c r="M894" s="16"/>
      <c r="N894" s="40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2.75" x14ac:dyDescent="0.2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44"/>
      <c r="M895" s="16"/>
      <c r="N895" s="40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2.75" x14ac:dyDescent="0.2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44"/>
      <c r="M896" s="16"/>
      <c r="N896" s="40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2.75" x14ac:dyDescent="0.2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44"/>
      <c r="M897" s="16"/>
      <c r="N897" s="40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2.75" x14ac:dyDescent="0.2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44"/>
      <c r="M898" s="16"/>
      <c r="N898" s="40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2.75" x14ac:dyDescent="0.2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44"/>
      <c r="M899" s="16"/>
      <c r="N899" s="40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2.75" x14ac:dyDescent="0.2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44"/>
      <c r="M900" s="16"/>
      <c r="N900" s="40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2.75" x14ac:dyDescent="0.2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44"/>
      <c r="M901" s="16"/>
      <c r="N901" s="40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2.75" x14ac:dyDescent="0.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44"/>
      <c r="M902" s="16"/>
      <c r="N902" s="40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2.75" x14ac:dyDescent="0.2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44"/>
      <c r="M903" s="16"/>
      <c r="N903" s="40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2.75" x14ac:dyDescent="0.2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44"/>
      <c r="M904" s="16"/>
      <c r="N904" s="40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2.75" x14ac:dyDescent="0.2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44"/>
      <c r="M905" s="16"/>
      <c r="N905" s="40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2.75" x14ac:dyDescent="0.2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44"/>
      <c r="M906" s="16"/>
      <c r="N906" s="40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2.75" x14ac:dyDescent="0.2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44"/>
      <c r="M907" s="16"/>
      <c r="N907" s="40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2.75" x14ac:dyDescent="0.2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44"/>
      <c r="M908" s="16"/>
      <c r="N908" s="40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2.75" x14ac:dyDescent="0.2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44"/>
      <c r="M909" s="16"/>
      <c r="N909" s="40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2.75" x14ac:dyDescent="0.2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44"/>
      <c r="M910" s="16"/>
      <c r="N910" s="40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2.75" x14ac:dyDescent="0.2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44"/>
      <c r="M911" s="16"/>
      <c r="N911" s="40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2.75" x14ac:dyDescent="0.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44"/>
      <c r="M912" s="16"/>
      <c r="N912" s="40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2.75" x14ac:dyDescent="0.2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44"/>
      <c r="M913" s="16"/>
      <c r="N913" s="40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2.75" x14ac:dyDescent="0.2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44"/>
      <c r="M914" s="16"/>
      <c r="N914" s="40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2.75" x14ac:dyDescent="0.2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44"/>
      <c r="M915" s="16"/>
      <c r="N915" s="40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2.75" x14ac:dyDescent="0.2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44"/>
      <c r="M916" s="16"/>
      <c r="N916" s="40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2.75" x14ac:dyDescent="0.2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44"/>
      <c r="M917" s="16"/>
      <c r="N917" s="40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2.75" x14ac:dyDescent="0.2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44"/>
      <c r="M918" s="16"/>
      <c r="N918" s="40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2.75" x14ac:dyDescent="0.2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44"/>
      <c r="M919" s="16"/>
      <c r="N919" s="40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2.75" x14ac:dyDescent="0.2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44"/>
      <c r="M920" s="16"/>
      <c r="N920" s="40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2.75" x14ac:dyDescent="0.2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44"/>
      <c r="M921" s="16"/>
      <c r="N921" s="40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2.75" x14ac:dyDescent="0.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44"/>
      <c r="M922" s="16"/>
      <c r="N922" s="40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2.75" x14ac:dyDescent="0.2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44"/>
      <c r="M923" s="16"/>
      <c r="N923" s="40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2.75" x14ac:dyDescent="0.2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44"/>
      <c r="M924" s="16"/>
      <c r="N924" s="40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2.75" x14ac:dyDescent="0.2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44"/>
      <c r="M925" s="16"/>
      <c r="N925" s="40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2.75" x14ac:dyDescent="0.2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44"/>
      <c r="M926" s="16"/>
      <c r="N926" s="40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2.75" x14ac:dyDescent="0.2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44"/>
      <c r="M927" s="16"/>
      <c r="N927" s="40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2.75" x14ac:dyDescent="0.2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44"/>
      <c r="M928" s="16"/>
      <c r="N928" s="40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2.75" x14ac:dyDescent="0.2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44"/>
      <c r="M929" s="16"/>
      <c r="N929" s="40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2.75" x14ac:dyDescent="0.2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44"/>
      <c r="M930" s="16"/>
      <c r="N930" s="40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2.75" x14ac:dyDescent="0.2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44"/>
      <c r="M931" s="16"/>
      <c r="N931" s="40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2.75" x14ac:dyDescent="0.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44"/>
      <c r="M932" s="16"/>
      <c r="N932" s="40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2.75" x14ac:dyDescent="0.2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44"/>
      <c r="M933" s="16"/>
      <c r="N933" s="40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2.75" x14ac:dyDescent="0.2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44"/>
      <c r="M934" s="16"/>
      <c r="N934" s="40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2.75" x14ac:dyDescent="0.2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44"/>
      <c r="M935" s="16"/>
      <c r="N935" s="40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2.75" x14ac:dyDescent="0.2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44"/>
      <c r="M936" s="16"/>
      <c r="N936" s="40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2.75" x14ac:dyDescent="0.2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44"/>
      <c r="M937" s="16"/>
      <c r="N937" s="40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2.75" x14ac:dyDescent="0.2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44"/>
      <c r="M938" s="16"/>
      <c r="N938" s="40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2.75" x14ac:dyDescent="0.2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44"/>
      <c r="M939" s="16"/>
      <c r="N939" s="40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2.75" x14ac:dyDescent="0.2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44"/>
      <c r="M940" s="16"/>
      <c r="N940" s="40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2.75" x14ac:dyDescent="0.2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44"/>
      <c r="M941" s="16"/>
      <c r="N941" s="40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2.75" x14ac:dyDescent="0.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44"/>
      <c r="M942" s="16"/>
      <c r="N942" s="40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2.75" x14ac:dyDescent="0.2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44"/>
      <c r="M943" s="16"/>
      <c r="N943" s="40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2.75" x14ac:dyDescent="0.2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44"/>
      <c r="M944" s="16"/>
      <c r="N944" s="40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2.75" x14ac:dyDescent="0.2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44"/>
      <c r="M945" s="16"/>
      <c r="N945" s="40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2.75" x14ac:dyDescent="0.2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44"/>
      <c r="M946" s="16"/>
      <c r="N946" s="40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2.75" x14ac:dyDescent="0.2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44"/>
      <c r="M947" s="16"/>
      <c r="N947" s="40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2.75" x14ac:dyDescent="0.2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44"/>
      <c r="M948" s="16"/>
      <c r="N948" s="40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2.75" x14ac:dyDescent="0.2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44"/>
      <c r="M949" s="16"/>
      <c r="N949" s="40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2.75" x14ac:dyDescent="0.2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44"/>
      <c r="M950" s="16"/>
      <c r="N950" s="40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2.75" x14ac:dyDescent="0.2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44"/>
      <c r="M951" s="16"/>
      <c r="N951" s="40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2.75" x14ac:dyDescent="0.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44"/>
      <c r="M952" s="16"/>
      <c r="N952" s="40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2.75" x14ac:dyDescent="0.2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44"/>
      <c r="M953" s="16"/>
      <c r="N953" s="40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2.75" x14ac:dyDescent="0.2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44"/>
      <c r="M954" s="16"/>
      <c r="N954" s="40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2.75" x14ac:dyDescent="0.2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44"/>
      <c r="M955" s="16"/>
      <c r="N955" s="40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2.75" x14ac:dyDescent="0.2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44"/>
      <c r="M956" s="16"/>
      <c r="N956" s="40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2.75" x14ac:dyDescent="0.2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44"/>
      <c r="M957" s="16"/>
      <c r="N957" s="40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2.75" x14ac:dyDescent="0.2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44"/>
      <c r="M958" s="16"/>
      <c r="N958" s="40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2.75" x14ac:dyDescent="0.2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44"/>
      <c r="M959" s="16"/>
      <c r="N959" s="40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2.75" x14ac:dyDescent="0.2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44"/>
      <c r="M960" s="16"/>
      <c r="N960" s="40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2.75" x14ac:dyDescent="0.2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44"/>
      <c r="M961" s="16"/>
      <c r="N961" s="40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2.75" x14ac:dyDescent="0.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44"/>
      <c r="M962" s="16"/>
      <c r="N962" s="40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2.75" x14ac:dyDescent="0.2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44"/>
      <c r="M963" s="16"/>
      <c r="N963" s="40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2.75" x14ac:dyDescent="0.2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44"/>
      <c r="M964" s="16"/>
      <c r="N964" s="40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2.75" x14ac:dyDescent="0.2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44"/>
      <c r="M965" s="16"/>
      <c r="N965" s="40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2.75" x14ac:dyDescent="0.2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44"/>
      <c r="M966" s="16"/>
      <c r="N966" s="40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2.75" x14ac:dyDescent="0.2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44"/>
      <c r="M967" s="16"/>
      <c r="N967" s="40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2.75" x14ac:dyDescent="0.2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44"/>
      <c r="M968" s="16"/>
      <c r="N968" s="40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2.75" x14ac:dyDescent="0.2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44"/>
      <c r="M969" s="16"/>
      <c r="N969" s="40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2.75" x14ac:dyDescent="0.2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44"/>
      <c r="M970" s="16"/>
      <c r="N970" s="40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2.75" x14ac:dyDescent="0.2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44"/>
      <c r="M971" s="16"/>
      <c r="N971" s="40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2.75" x14ac:dyDescent="0.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44"/>
      <c r="M972" s="16"/>
      <c r="N972" s="40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2.75" x14ac:dyDescent="0.2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44"/>
      <c r="M973" s="16"/>
      <c r="N973" s="40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2.75" x14ac:dyDescent="0.2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44"/>
      <c r="M974" s="16"/>
      <c r="N974" s="40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2.75" x14ac:dyDescent="0.2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44"/>
      <c r="M975" s="16"/>
      <c r="N975" s="40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2.75" x14ac:dyDescent="0.2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44"/>
      <c r="M976" s="16"/>
      <c r="N976" s="40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2.75" x14ac:dyDescent="0.2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44"/>
      <c r="M977" s="16"/>
      <c r="N977" s="40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2.75" x14ac:dyDescent="0.2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44"/>
      <c r="M978" s="16"/>
      <c r="N978" s="40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2.75" x14ac:dyDescent="0.2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44"/>
      <c r="M979" s="16"/>
      <c r="N979" s="40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2.75" x14ac:dyDescent="0.2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44"/>
      <c r="M980" s="16"/>
      <c r="N980" s="40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2.75" x14ac:dyDescent="0.2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44"/>
      <c r="M981" s="16"/>
      <c r="N981" s="40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2.75" x14ac:dyDescent="0.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44"/>
      <c r="M982" s="16"/>
      <c r="N982" s="40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2.75" x14ac:dyDescent="0.2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44"/>
      <c r="M983" s="16"/>
      <c r="N983" s="40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2.75" x14ac:dyDescent="0.2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44"/>
      <c r="M984" s="16"/>
      <c r="N984" s="40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2.75" x14ac:dyDescent="0.2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44"/>
      <c r="M985" s="16"/>
      <c r="N985" s="40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2.75" x14ac:dyDescent="0.2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44"/>
      <c r="M986" s="16"/>
      <c r="N986" s="40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2.75" x14ac:dyDescent="0.2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44"/>
      <c r="M987" s="16"/>
      <c r="N987" s="40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2.75" x14ac:dyDescent="0.2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44"/>
      <c r="M988" s="16"/>
      <c r="N988" s="40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2.75" x14ac:dyDescent="0.2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44"/>
      <c r="M989" s="16"/>
      <c r="N989" s="40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2.75" x14ac:dyDescent="0.2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44"/>
      <c r="M990" s="16"/>
      <c r="N990" s="40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2.75" x14ac:dyDescent="0.2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44"/>
      <c r="M991" s="16"/>
      <c r="N991" s="40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2.75" x14ac:dyDescent="0.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44"/>
      <c r="M992" s="16"/>
      <c r="N992" s="40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2.75" x14ac:dyDescent="0.2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44"/>
      <c r="M993" s="16"/>
      <c r="N993" s="40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2.75" x14ac:dyDescent="0.2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44"/>
      <c r="M994" s="16"/>
      <c r="N994" s="40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2.75" x14ac:dyDescent="0.2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44"/>
      <c r="M995" s="16"/>
      <c r="N995" s="40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2.75" x14ac:dyDescent="0.2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44"/>
      <c r="M996" s="16"/>
      <c r="N996" s="40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2.75" x14ac:dyDescent="0.2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44"/>
      <c r="M997" s="16"/>
      <c r="N997" s="40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2.75" x14ac:dyDescent="0.2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44"/>
      <c r="M998" s="16"/>
      <c r="N998" s="40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2.75" x14ac:dyDescent="0.2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44"/>
      <c r="M999" s="16"/>
      <c r="N999" s="40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2.75" x14ac:dyDescent="0.2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44"/>
      <c r="M1000" s="16"/>
      <c r="N1000" s="40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r="1001" spans="1:26" ht="12.75" x14ac:dyDescent="0.2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44"/>
      <c r="M1001" s="16"/>
      <c r="N1001" s="40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  <row r="1002" spans="1:26" ht="12.75" x14ac:dyDescent="0.2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44"/>
      <c r="M1002" s="16"/>
      <c r="N1002" s="40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</row>
    <row r="1003" spans="1:26" ht="12.75" x14ac:dyDescent="0.2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44"/>
      <c r="M1003" s="16"/>
      <c r="N1003" s="40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</row>
    <row r="1004" spans="1:26" ht="12.75" x14ac:dyDescent="0.2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44"/>
      <c r="M1004" s="16"/>
      <c r="N1004" s="40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</row>
    <row r="1005" spans="1:26" ht="12.75" x14ac:dyDescent="0.2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44"/>
      <c r="M1005" s="16"/>
      <c r="N1005" s="40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</row>
    <row r="1006" spans="1:26" ht="12.75" x14ac:dyDescent="0.2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44"/>
      <c r="M1006" s="16"/>
      <c r="N1006" s="40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</row>
    <row r="1007" spans="1:26" ht="12.75" x14ac:dyDescent="0.2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44"/>
      <c r="M1007" s="16"/>
      <c r="N1007" s="40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</row>
    <row r="1008" spans="1:26" ht="12.75" x14ac:dyDescent="0.2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44"/>
      <c r="M1008" s="16"/>
      <c r="N1008" s="40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</row>
    <row r="1009" spans="1:26" ht="12.75" x14ac:dyDescent="0.2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44"/>
      <c r="M1009" s="16"/>
      <c r="N1009" s="40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</row>
    <row r="1010" spans="1:26" ht="12.75" x14ac:dyDescent="0.2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44"/>
      <c r="M1010" s="16"/>
      <c r="N1010" s="40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</row>
    <row r="1011" spans="1:26" ht="12.75" x14ac:dyDescent="0.2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44"/>
      <c r="M1011" s="16"/>
      <c r="N1011" s="40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</row>
    <row r="1012" spans="1:26" ht="12.75" x14ac:dyDescent="0.2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44"/>
      <c r="M1012" s="16"/>
      <c r="N1012" s="40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</row>
    <row r="1013" spans="1:26" ht="12.75" x14ac:dyDescent="0.2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44"/>
      <c r="M1013" s="16"/>
      <c r="N1013" s="40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</row>
    <row r="1014" spans="1:26" ht="12.75" x14ac:dyDescent="0.2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44"/>
      <c r="M1014" s="16"/>
      <c r="N1014" s="40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</row>
    <row r="1015" spans="1:26" ht="12.75" x14ac:dyDescent="0.2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44"/>
      <c r="M1015" s="16"/>
      <c r="N1015" s="40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</row>
    <row r="1016" spans="1:26" ht="12.75" x14ac:dyDescent="0.2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44"/>
      <c r="M1016" s="16"/>
      <c r="N1016" s="40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</row>
    <row r="1017" spans="1:26" ht="12.75" x14ac:dyDescent="0.2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44"/>
      <c r="M1017" s="16"/>
      <c r="N1017" s="40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</row>
    <row r="1018" spans="1:26" ht="12.75" x14ac:dyDescent="0.2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44"/>
      <c r="M1018" s="16"/>
      <c r="N1018" s="40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</row>
    <row r="1019" spans="1:26" ht="12.75" x14ac:dyDescent="0.2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44"/>
      <c r="M1019" s="16"/>
      <c r="N1019" s="40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</row>
    <row r="1020" spans="1:26" ht="12.75" x14ac:dyDescent="0.2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44"/>
      <c r="M1020" s="16"/>
      <c r="N1020" s="40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</row>
    <row r="1021" spans="1:26" ht="12.75" x14ac:dyDescent="0.2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44"/>
      <c r="M1021" s="16"/>
      <c r="N1021" s="40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</row>
    <row r="1022" spans="1:26" ht="12.75" x14ac:dyDescent="0.2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44"/>
      <c r="M1022" s="16"/>
      <c r="N1022" s="40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</row>
    <row r="1023" spans="1:26" ht="12.75" x14ac:dyDescent="0.2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44"/>
      <c r="M1023" s="16"/>
      <c r="N1023" s="40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</row>
    <row r="1024" spans="1:26" ht="12.75" x14ac:dyDescent="0.2">
      <c r="A1024" s="1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44"/>
      <c r="M1024" s="16"/>
      <c r="N1024" s="40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</row>
    <row r="1025" spans="1:26" ht="12.75" x14ac:dyDescent="0.2">
      <c r="A1025" s="16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44"/>
      <c r="M1025" s="16"/>
      <c r="N1025" s="40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</row>
    <row r="1026" spans="1:26" ht="12.75" x14ac:dyDescent="0.2">
      <c r="A1026" s="16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44"/>
      <c r="M1026" s="16"/>
      <c r="N1026" s="40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</row>
    <row r="1027" spans="1:26" ht="12.75" x14ac:dyDescent="0.2">
      <c r="A1027" s="16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44"/>
      <c r="M1027" s="16"/>
      <c r="N1027" s="40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</row>
    <row r="1028" spans="1:26" ht="12.75" x14ac:dyDescent="0.2">
      <c r="A1028" s="16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44"/>
      <c r="M1028" s="16"/>
      <c r="N1028" s="40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</row>
    <row r="1029" spans="1:26" ht="12.75" x14ac:dyDescent="0.2">
      <c r="A1029" s="16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44"/>
      <c r="M1029" s="16"/>
      <c r="N1029" s="40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</row>
    <row r="1030" spans="1:26" ht="12.75" x14ac:dyDescent="0.2">
      <c r="A1030" s="16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44"/>
      <c r="M1030" s="16"/>
      <c r="N1030" s="40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</row>
    <row r="1031" spans="1:26" ht="12.75" x14ac:dyDescent="0.2">
      <c r="A1031" s="16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44"/>
      <c r="M1031" s="16"/>
      <c r="N1031" s="40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</row>
    <row r="1032" spans="1:26" ht="12.75" x14ac:dyDescent="0.2">
      <c r="L1032" s="45"/>
      <c r="N1032" s="46"/>
    </row>
  </sheetData>
  <mergeCells count="2">
    <mergeCell ref="A1:M3"/>
    <mergeCell ref="O2:O4"/>
  </mergeCells>
  <dataValidations count="1">
    <dataValidation type="list" allowBlank="1" showErrorMessage="1" sqref="G5:H107 M5:M107">
      <formula1>"Акимова,Дунин,Копанев,Николаев,Пронина,Ретюнский А,Ретюнский В,Тютючкин,Федотова,Севостьянов,Кафтаев,Пароваткин,Харламов,Пайков,Хомколов,Максин,Ульянов"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Морозов Андрей</cp:lastModifiedBy>
  <dcterms:modified xsi:type="dcterms:W3CDTF">2026-06-26T13:27:57Z</dcterms:modified>
</cp:coreProperties>
</file>